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lacounty-my.sharepoint.com/personal/tonytritran_dpss_lacounty_gov/Documents/MIE/Other Assignments/Alameda Tool (9.2023)/"/>
    </mc:Choice>
  </mc:AlternateContent>
  <xr:revisionPtr revIDLastSave="251" documentId="8_{4BFDF755-9A5F-4838-85FF-A40F24098558}" xr6:coauthVersionLast="47" xr6:coauthVersionMax="47" xr10:uidLastSave="{39280476-B8CB-44B6-A1DF-69A904889545}"/>
  <bookViews>
    <workbookView xWindow="0" yWindow="0" windowWidth="28800" windowHeight="31800" tabRatio="620" xr2:uid="{00000000-000D-0000-FFFF-FFFF00000000}"/>
  </bookViews>
  <sheets>
    <sheet name="Begin" sheetId="1" r:id="rId1"/>
    <sheet name="Data" sheetId="2" r:id="rId2"/>
    <sheet name="Results" sheetId="4" r:id="rId3"/>
    <sheet name="DFA_285B" sheetId="5" r:id="rId4"/>
    <sheet name="Ex-CFAP" sheetId="6" r:id="rId5"/>
    <sheet name="Dep Care Calc" sheetId="12" r:id="rId6"/>
    <sheet name="Elig_Data" sheetId="3" r:id="rId7"/>
    <sheet name="X_Tables" sheetId="8" r:id="rId8"/>
    <sheet name="C.S." sheetId="14" r:id="rId9"/>
    <sheet name="Ex_Aid" sheetId="7" r:id="rId10"/>
    <sheet name="Module1" sheetId="9" state="veryHidden" r:id="rId11"/>
    <sheet name="Module3" sheetId="10" state="veryHidden" r:id="rId12"/>
    <sheet name="Module2" sheetId="11" state="veryHidden" r:id="rId13"/>
    <sheet name="Sheet2" sheetId="15" state="hidden" r:id="rId14"/>
    <sheet name="Sheet1" sheetId="16" state="hidden" r:id="rId15"/>
  </sheets>
  <definedNames>
    <definedName name="B_Cons">X_Tables!$B$3:$BD$11</definedName>
    <definedName name="M_Net">X_Tables!$B$40:$BD$60</definedName>
    <definedName name="MAMI">X_Tables!$B$90:$BD$92</definedName>
    <definedName name="Max_A">X_Tables!$B$16:$BD$36</definedName>
    <definedName name="MOS">Data!$L$17:$AZ$18</definedName>
    <definedName name="MSO">Data!$L$1:$AZ$3</definedName>
    <definedName name="_xlnm.Print_Area" localSheetId="0">Begin!$A$1:$M$35</definedName>
    <definedName name="_xlnm.Print_Area" localSheetId="1">Data!$B$1:$I$28</definedName>
    <definedName name="_xlnm.Print_Area" localSheetId="3">DFA_285B!$A$1:$G$71</definedName>
    <definedName name="_xlnm.Print_Area" localSheetId="6">Elig_Data!$A$1:$I$23</definedName>
    <definedName name="_xlnm.Print_Area" localSheetId="9">Ex_Aid!$A$1:$H$30</definedName>
    <definedName name="_xlnm.Print_Area" localSheetId="4">'Ex-CFAP'!$B$1:$G$27</definedName>
    <definedName name="_xlnm.Print_Area" localSheetId="2">Results!$A$1:$H$23</definedName>
    <definedName name="_xlnm.Print_Area" localSheetId="7">X_Tables!$A$1:$BD$94</definedName>
    <definedName name="R_MG">X_Tables!$B$64:$BD$84</definedName>
    <definedName name="vtab">#REF!</definedName>
    <definedName name="Z_3CED0DA5_B598_4FE7_9427_9FCE2EEF7FEF_.wvu.PrintArea" localSheetId="0" hidden="1">Begin!$A$1:$M$35</definedName>
    <definedName name="Z_3CED0DA5_B598_4FE7_9427_9FCE2EEF7FEF_.wvu.PrintArea" localSheetId="1" hidden="1">Data!$A$1:$J$28</definedName>
    <definedName name="Z_3CED0DA5_B598_4FE7_9427_9FCE2EEF7FEF_.wvu.PrintArea" localSheetId="3" hidden="1">DFA_285B!$A$1:$G$71</definedName>
    <definedName name="Z_3CED0DA5_B598_4FE7_9427_9FCE2EEF7FEF_.wvu.PrintArea" localSheetId="6" hidden="1">Elig_Data!$A$1:$J$23</definedName>
    <definedName name="Z_3CED0DA5_B598_4FE7_9427_9FCE2EEF7FEF_.wvu.PrintArea" localSheetId="9" hidden="1">Ex_Aid!$A$1:$H$30</definedName>
    <definedName name="Z_3CED0DA5_B598_4FE7_9427_9FCE2EEF7FEF_.wvu.PrintArea" localSheetId="4" hidden="1">'Ex-CFAP'!$A$1:$H$26</definedName>
    <definedName name="Z_3CED0DA5_B598_4FE7_9427_9FCE2EEF7FEF_.wvu.PrintArea" localSheetId="2" hidden="1">Results!$A$1:$H$23</definedName>
    <definedName name="Z_3CED0DA5_B598_4FE7_9427_9FCE2EEF7FEF_.wvu.PrintArea" localSheetId="7" hidden="1">X_Tables!$A$1:$BD$94</definedName>
    <definedName name="Z_8B667783_ABB1_44FC_8E84_2FB0B35607A4_.wvu.PrintArea" localSheetId="0" hidden="1">Begin!$A$1:$M$35</definedName>
    <definedName name="Z_8B667783_ABB1_44FC_8E84_2FB0B35607A4_.wvu.PrintArea" localSheetId="1" hidden="1">Data!$A$1:$J$28</definedName>
    <definedName name="Z_8B667783_ABB1_44FC_8E84_2FB0B35607A4_.wvu.PrintArea" localSheetId="3" hidden="1">DFA_285B!$A$1:$G$71</definedName>
    <definedName name="Z_8B667783_ABB1_44FC_8E84_2FB0B35607A4_.wvu.PrintArea" localSheetId="6" hidden="1">Elig_Data!$A$1:$J$23</definedName>
    <definedName name="Z_8B667783_ABB1_44FC_8E84_2FB0B35607A4_.wvu.PrintArea" localSheetId="9" hidden="1">Ex_Aid!$A$1:$H$30</definedName>
    <definedName name="Z_8B667783_ABB1_44FC_8E84_2FB0B35607A4_.wvu.PrintArea" localSheetId="4" hidden="1">'Ex-CFAP'!$A$1:$H$26</definedName>
    <definedName name="Z_8B667783_ABB1_44FC_8E84_2FB0B35607A4_.wvu.PrintArea" localSheetId="2" hidden="1">Results!$A$1:$H$23</definedName>
    <definedName name="Z_8B667783_ABB1_44FC_8E84_2FB0B35607A4_.wvu.PrintArea" localSheetId="7" hidden="1">X_Tables!$A$1:$BD$94</definedName>
  </definedNames>
  <calcPr calcId="191029"/>
  <customWorkbookViews>
    <customWorkbookView name="J. Briseno - Personal View" guid="{8B667783-ABB1-44FC-8E84-2FB0B35607A4}" mergeInterval="0" personalView="1" maximized="1" windowWidth="1020" windowHeight="555" tabRatio="620" activeSheetId="2"/>
    <customWorkbookView name="e486096 - Personal View" guid="{3CED0DA5-B598-4FE7-9427-9FCE2EEF7FEF}" mergeInterval="0" personalView="1" maximized="1" windowWidth="1272" windowHeight="793" tabRatio="620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5" i="2" l="1"/>
  <c r="C60" i="2"/>
  <c r="X74" i="8"/>
  <c r="X75" i="8" s="1"/>
  <c r="X76" i="8" s="1"/>
  <c r="X77" i="8" s="1"/>
  <c r="X78" i="8" s="1"/>
  <c r="X79" i="8" s="1"/>
  <c r="X80" i="8" s="1"/>
  <c r="X81" i="8" s="1"/>
  <c r="X82" i="8" s="1"/>
  <c r="X83" i="8" s="1"/>
  <c r="X84" i="8" s="1"/>
  <c r="X73" i="8"/>
  <c r="X50" i="8"/>
  <c r="X51" i="8" s="1"/>
  <c r="X52" i="8" s="1"/>
  <c r="X53" i="8" s="1"/>
  <c r="X54" i="8" s="1"/>
  <c r="X55" i="8" s="1"/>
  <c r="X56" i="8" s="1"/>
  <c r="X57" i="8" s="1"/>
  <c r="X58" i="8" s="1"/>
  <c r="X59" i="8" s="1"/>
  <c r="X60" i="8" s="1"/>
  <c r="X49" i="8"/>
  <c r="X26" i="8"/>
  <c r="X27" i="8" s="1"/>
  <c r="X28" i="8" s="1"/>
  <c r="X29" i="8" s="1"/>
  <c r="X30" i="8" s="1"/>
  <c r="X31" i="8" s="1"/>
  <c r="X32" i="8" s="1"/>
  <c r="X33" i="8" s="1"/>
  <c r="X34" i="8" s="1"/>
  <c r="X35" i="8" s="1"/>
  <c r="X36" i="8" s="1"/>
  <c r="X25" i="8"/>
  <c r="U10" i="14" l="1"/>
  <c r="N21" i="14"/>
  <c r="N20" i="14" s="1"/>
  <c r="G29" i="14"/>
  <c r="H29" i="14" s="1"/>
  <c r="W49" i="8"/>
  <c r="W50" i="8" s="1"/>
  <c r="W51" i="8" s="1"/>
  <c r="W52" i="8" s="1"/>
  <c r="W53" i="8" s="1"/>
  <c r="W54" i="8" s="1"/>
  <c r="W55" i="8" s="1"/>
  <c r="W56" i="8" s="1"/>
  <c r="W57" i="8" s="1"/>
  <c r="W58" i="8" s="1"/>
  <c r="W59" i="8" s="1"/>
  <c r="W60" i="8" s="1"/>
  <c r="W25" i="8"/>
  <c r="W26" i="8" s="1"/>
  <c r="W27" i="8" s="1"/>
  <c r="W28" i="8" s="1"/>
  <c r="W29" i="8" s="1"/>
  <c r="W30" i="8" s="1"/>
  <c r="W31" i="8" s="1"/>
  <c r="W32" i="8" s="1"/>
  <c r="W33" i="8" s="1"/>
  <c r="W34" i="8" s="1"/>
  <c r="W35" i="8" s="1"/>
  <c r="W36" i="8" s="1"/>
  <c r="S9" i="14"/>
  <c r="G65" i="5"/>
  <c r="T20" i="14"/>
  <c r="G67" i="5"/>
  <c r="V75" i="8"/>
  <c r="V76" i="8" s="1"/>
  <c r="V77" i="8" s="1"/>
  <c r="V78" i="8" s="1"/>
  <c r="V79" i="8" s="1"/>
  <c r="V80" i="8" s="1"/>
  <c r="V81" i="8" s="1"/>
  <c r="V82" i="8" s="1"/>
  <c r="V83" i="8" s="1"/>
  <c r="V84" i="8" s="1"/>
  <c r="V50" i="8"/>
  <c r="V51" i="8" s="1"/>
  <c r="V52" i="8" s="1"/>
  <c r="V53" i="8" s="1"/>
  <c r="V54" i="8" s="1"/>
  <c r="V55" i="8" s="1"/>
  <c r="V56" i="8" s="1"/>
  <c r="V57" i="8" s="1"/>
  <c r="V58" i="8" s="1"/>
  <c r="V59" i="8" s="1"/>
  <c r="V60" i="8" s="1"/>
  <c r="V49" i="8"/>
  <c r="V25" i="8"/>
  <c r="V26" i="8" s="1"/>
  <c r="V27" i="8" s="1"/>
  <c r="V28" i="8" s="1"/>
  <c r="V29" i="8" s="1"/>
  <c r="V30" i="8" s="1"/>
  <c r="V31" i="8" s="1"/>
  <c r="V32" i="8" s="1"/>
  <c r="V33" i="8" s="1"/>
  <c r="V34" i="8" s="1"/>
  <c r="V35" i="8" s="1"/>
  <c r="V36" i="8" s="1"/>
  <c r="N14" i="16"/>
  <c r="G1" i="4"/>
  <c r="P27" i="15" l="1"/>
  <c r="D36" i="4" l="1"/>
  <c r="E8" i="2" l="1"/>
  <c r="N27" i="15" l="1"/>
  <c r="F11" i="15" l="1"/>
  <c r="F12" i="15" s="1"/>
  <c r="C26" i="2" l="1"/>
  <c r="I8" i="15" l="1"/>
  <c r="C66" i="2" l="1"/>
  <c r="C65" i="2"/>
  <c r="C64" i="2"/>
  <c r="C63" i="2"/>
  <c r="C62" i="2"/>
  <c r="C67" i="2" l="1"/>
  <c r="J30" i="2" s="1"/>
  <c r="U25" i="8" l="1"/>
  <c r="U26" i="8" s="1"/>
  <c r="U27" i="8" s="1"/>
  <c r="U28" i="8" s="1"/>
  <c r="U29" i="8" s="1"/>
  <c r="U30" i="8" s="1"/>
  <c r="U31" i="8" s="1"/>
  <c r="U32" i="8" s="1"/>
  <c r="U33" i="8" s="1"/>
  <c r="U34" i="8" s="1"/>
  <c r="U35" i="8" s="1"/>
  <c r="U36" i="8" s="1"/>
  <c r="C22" i="14" l="1"/>
  <c r="D14" i="5" l="1"/>
  <c r="D13" i="5"/>
  <c r="D12" i="5"/>
  <c r="D11" i="5"/>
  <c r="D37" i="5"/>
  <c r="D36" i="5"/>
  <c r="D10" i="5" l="1"/>
  <c r="D33" i="5" l="1"/>
  <c r="D53" i="2"/>
  <c r="D54" i="2" s="1"/>
  <c r="D60" i="2" l="1"/>
  <c r="S3" i="14" l="1"/>
  <c r="I22" i="2" l="1"/>
  <c r="Q20" i="14" l="1"/>
  <c r="G7" i="4" l="1"/>
  <c r="D67" i="5" s="1"/>
  <c r="L2" i="15" l="1"/>
  <c r="M12" i="15" l="1"/>
  <c r="G3" i="4" s="1"/>
  <c r="I12" i="15" l="1"/>
  <c r="D2" i="4" l="1"/>
  <c r="J19" i="15"/>
  <c r="I20" i="2"/>
  <c r="O21" i="14" l="1"/>
  <c r="S73" i="8" l="1"/>
  <c r="S74" i="8" s="1"/>
  <c r="S75" i="8" s="1"/>
  <c r="S76" i="8" s="1"/>
  <c r="S77" i="8" s="1"/>
  <c r="S78" i="8" s="1"/>
  <c r="S79" i="8" s="1"/>
  <c r="S80" i="8" s="1"/>
  <c r="S81" i="8" s="1"/>
  <c r="S82" i="8" s="1"/>
  <c r="S83" i="8" s="1"/>
  <c r="S84" i="8" s="1"/>
  <c r="S49" i="8"/>
  <c r="S50" i="8" s="1"/>
  <c r="S51" i="8" s="1"/>
  <c r="S52" i="8" s="1"/>
  <c r="S53" i="8" s="1"/>
  <c r="S54" i="8" s="1"/>
  <c r="S55" i="8" s="1"/>
  <c r="S56" i="8" s="1"/>
  <c r="S57" i="8" s="1"/>
  <c r="S58" i="8" s="1"/>
  <c r="S59" i="8" s="1"/>
  <c r="S60" i="8" s="1"/>
  <c r="S25" i="8"/>
  <c r="S26" i="8" s="1"/>
  <c r="S27" i="8" s="1"/>
  <c r="S28" i="8" s="1"/>
  <c r="S29" i="8" s="1"/>
  <c r="S30" i="8" s="1"/>
  <c r="S31" i="8" s="1"/>
  <c r="S32" i="8" s="1"/>
  <c r="S33" i="8" s="1"/>
  <c r="S34" i="8" s="1"/>
  <c r="S35" i="8" s="1"/>
  <c r="S36" i="8" s="1"/>
  <c r="J2" i="4" l="1"/>
  <c r="B9" i="14" l="1"/>
  <c r="J30" i="14" l="1"/>
  <c r="B45" i="14" l="1"/>
  <c r="R73" i="8" l="1"/>
  <c r="R74" i="8" s="1"/>
  <c r="R75" i="8" s="1"/>
  <c r="R76" i="8" s="1"/>
  <c r="R77" i="8" s="1"/>
  <c r="R78" i="8" s="1"/>
  <c r="R79" i="8" s="1"/>
  <c r="R80" i="8" s="1"/>
  <c r="R81" i="8" s="1"/>
  <c r="R82" i="8" s="1"/>
  <c r="R83" i="8" s="1"/>
  <c r="R84" i="8" s="1"/>
  <c r="R49" i="8"/>
  <c r="R50" i="8" s="1"/>
  <c r="R51" i="8" s="1"/>
  <c r="R52" i="8" s="1"/>
  <c r="R53" i="8" s="1"/>
  <c r="R54" i="8" s="1"/>
  <c r="R55" i="8" s="1"/>
  <c r="R56" i="8" s="1"/>
  <c r="R57" i="8" s="1"/>
  <c r="R58" i="8" s="1"/>
  <c r="R59" i="8" s="1"/>
  <c r="R60" i="8" s="1"/>
  <c r="R25" i="8"/>
  <c r="R26" i="8" s="1"/>
  <c r="R27" i="8" s="1"/>
  <c r="R28" i="8" s="1"/>
  <c r="R29" i="8" s="1"/>
  <c r="R30" i="8" s="1"/>
  <c r="R31" i="8" s="1"/>
  <c r="R32" i="8" s="1"/>
  <c r="R33" i="8" s="1"/>
  <c r="R34" i="8" s="1"/>
  <c r="R35" i="8" s="1"/>
  <c r="R36" i="8" s="1"/>
  <c r="G18" i="2" l="1"/>
  <c r="C54" i="2" s="1"/>
  <c r="I18" i="2" s="1"/>
  <c r="E5" i="6" l="1"/>
  <c r="J27" i="4" l="1"/>
  <c r="D10" i="4" l="1"/>
  <c r="F12" i="6" s="1"/>
  <c r="W4" i="6" l="1"/>
  <c r="B48" i="14" l="1"/>
  <c r="C61" i="14" s="1"/>
  <c r="F48" i="14" l="1"/>
  <c r="D48" i="14"/>
  <c r="Q73" i="8" l="1"/>
  <c r="Q74" i="8" s="1"/>
  <c r="Q75" i="8" s="1"/>
  <c r="Q76" i="8" s="1"/>
  <c r="Q77" i="8" s="1"/>
  <c r="Q78" i="8" s="1"/>
  <c r="Q79" i="8" s="1"/>
  <c r="Q80" i="8" s="1"/>
  <c r="Q81" i="8" s="1"/>
  <c r="Q82" i="8" s="1"/>
  <c r="Q83" i="8" s="1"/>
  <c r="Q84" i="8" s="1"/>
  <c r="Q49" i="8"/>
  <c r="Q50" i="8" s="1"/>
  <c r="Q51" i="8" s="1"/>
  <c r="Q52" i="8" s="1"/>
  <c r="Q53" i="8" s="1"/>
  <c r="Q54" i="8" s="1"/>
  <c r="Q55" i="8" s="1"/>
  <c r="Q56" i="8" s="1"/>
  <c r="Q57" i="8" s="1"/>
  <c r="Q58" i="8" s="1"/>
  <c r="Q59" i="8" s="1"/>
  <c r="Q60" i="8" s="1"/>
  <c r="E23" i="14" l="1"/>
  <c r="D23" i="14" s="1"/>
  <c r="D10" i="14" l="1"/>
  <c r="E10" i="14" l="1"/>
  <c r="B17" i="14" l="1"/>
  <c r="B13" i="14"/>
  <c r="B15" i="14"/>
  <c r="P73" i="8"/>
  <c r="P74" i="8" s="1"/>
  <c r="P75" i="8" s="1"/>
  <c r="P76" i="8" s="1"/>
  <c r="P77" i="8" s="1"/>
  <c r="P78" i="8" s="1"/>
  <c r="P79" i="8" s="1"/>
  <c r="P80" i="8" s="1"/>
  <c r="P81" i="8" s="1"/>
  <c r="P82" i="8" s="1"/>
  <c r="P83" i="8" s="1"/>
  <c r="P84" i="8" s="1"/>
  <c r="P49" i="8"/>
  <c r="P50" i="8" s="1"/>
  <c r="P51" i="8" s="1"/>
  <c r="P52" i="8" s="1"/>
  <c r="P53" i="8" s="1"/>
  <c r="P54" i="8" s="1"/>
  <c r="P55" i="8" s="1"/>
  <c r="P56" i="8" s="1"/>
  <c r="P57" i="8" s="1"/>
  <c r="P58" i="8" s="1"/>
  <c r="P59" i="8" s="1"/>
  <c r="P60" i="8" s="1"/>
  <c r="C6" i="12" l="1"/>
  <c r="C8" i="12" l="1"/>
  <c r="C12" i="12" l="1"/>
  <c r="C17" i="2" s="1"/>
  <c r="C25" i="6"/>
  <c r="C17" i="6" s="1"/>
  <c r="F11" i="12" l="1"/>
  <c r="K2" i="6"/>
  <c r="O73" i="8"/>
  <c r="O74" i="8" s="1"/>
  <c r="O75" i="8" s="1"/>
  <c r="O76" i="8" s="1"/>
  <c r="O77" i="8" s="1"/>
  <c r="O78" i="8" s="1"/>
  <c r="O79" i="8" s="1"/>
  <c r="O80" i="8" s="1"/>
  <c r="O81" i="8" s="1"/>
  <c r="O82" i="8" s="1"/>
  <c r="O83" i="8" s="1"/>
  <c r="O84" i="8" s="1"/>
  <c r="O49" i="8" l="1"/>
  <c r="O50" i="8" s="1"/>
  <c r="O51" i="8" s="1"/>
  <c r="O52" i="8" s="1"/>
  <c r="O53" i="8" s="1"/>
  <c r="O54" i="8" s="1"/>
  <c r="O55" i="8" s="1"/>
  <c r="O56" i="8" s="1"/>
  <c r="O57" i="8" s="1"/>
  <c r="O58" i="8" s="1"/>
  <c r="O59" i="8" s="1"/>
  <c r="O60" i="8" s="1"/>
  <c r="N73" i="8" l="1"/>
  <c r="N74" i="8" s="1"/>
  <c r="N75" i="8" s="1"/>
  <c r="N76" i="8" s="1"/>
  <c r="N77" i="8" s="1"/>
  <c r="N78" i="8" s="1"/>
  <c r="N79" i="8" s="1"/>
  <c r="N80" i="8" s="1"/>
  <c r="N81" i="8" s="1"/>
  <c r="N82" i="8" s="1"/>
  <c r="N83" i="8" s="1"/>
  <c r="N84" i="8" s="1"/>
  <c r="N49" i="8" l="1"/>
  <c r="N50" i="8" s="1"/>
  <c r="N51" i="8" s="1"/>
  <c r="N52" i="8" s="1"/>
  <c r="N53" i="8" s="1"/>
  <c r="N54" i="8" s="1"/>
  <c r="N55" i="8" s="1"/>
  <c r="N56" i="8" s="1"/>
  <c r="N57" i="8" s="1"/>
  <c r="N58" i="8" s="1"/>
  <c r="N59" i="8" s="1"/>
  <c r="N60" i="8" s="1"/>
  <c r="E71" i="5" l="1"/>
  <c r="G19" i="4"/>
  <c r="D71" i="5"/>
  <c r="G4" i="7"/>
  <c r="B5" i="7"/>
  <c r="G5" i="7"/>
  <c r="I5" i="7"/>
  <c r="D6" i="7"/>
  <c r="D10" i="7" s="1"/>
  <c r="E6" i="7"/>
  <c r="E9" i="7" s="1"/>
  <c r="E14" i="7" s="1"/>
  <c r="F6" i="7"/>
  <c r="F9" i="7" s="1"/>
  <c r="F14" i="7" s="1"/>
  <c r="B7" i="7"/>
  <c r="G7" i="7"/>
  <c r="I7" i="7"/>
  <c r="F11" i="7"/>
  <c r="B13" i="7"/>
  <c r="G13" i="7"/>
  <c r="B4" i="3"/>
  <c r="C5" i="3"/>
  <c r="I7" i="3"/>
  <c r="I8" i="3"/>
  <c r="I9" i="3"/>
  <c r="I10" i="3"/>
  <c r="I11" i="3"/>
  <c r="I12" i="3"/>
  <c r="I13" i="3"/>
  <c r="I14" i="3"/>
  <c r="F3" i="6"/>
  <c r="G3" i="6"/>
  <c r="J11" i="6" s="1"/>
  <c r="F7" i="6"/>
  <c r="F10" i="6"/>
  <c r="B19" i="6"/>
  <c r="C28" i="6"/>
  <c r="C29" i="6"/>
  <c r="C30" i="6"/>
  <c r="D1" i="5"/>
  <c r="F1" i="5"/>
  <c r="G1" i="5"/>
  <c r="C2" i="5"/>
  <c r="E2" i="5"/>
  <c r="G2" i="5"/>
  <c r="E3" i="5"/>
  <c r="G4" i="5"/>
  <c r="D17" i="5"/>
  <c r="E21" i="5"/>
  <c r="F36" i="5"/>
  <c r="F37" i="5"/>
  <c r="F38" i="5"/>
  <c r="G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G51" i="5"/>
  <c r="F52" i="5"/>
  <c r="F53" i="5"/>
  <c r="F54" i="5"/>
  <c r="F55" i="5"/>
  <c r="F57" i="5"/>
  <c r="F58" i="5"/>
  <c r="G58" i="5"/>
  <c r="F59" i="5"/>
  <c r="G59" i="5"/>
  <c r="F60" i="5"/>
  <c r="G60" i="5"/>
  <c r="F61" i="5"/>
  <c r="G61" i="5"/>
  <c r="F62" i="5"/>
  <c r="F63" i="5"/>
  <c r="D64" i="5"/>
  <c r="E65" i="5"/>
  <c r="F65" i="5"/>
  <c r="F66" i="5"/>
  <c r="G66" i="5"/>
  <c r="F69" i="5"/>
  <c r="E18" i="5"/>
  <c r="D65" i="5"/>
  <c r="M7" i="4"/>
  <c r="D7" i="4" s="1"/>
  <c r="D42" i="5" s="1"/>
  <c r="C14" i="4"/>
  <c r="I1" i="2"/>
  <c r="F2" i="2"/>
  <c r="I3" i="2"/>
  <c r="G10" i="4" s="1"/>
  <c r="H7" i="2"/>
  <c r="I7" i="2" s="1"/>
  <c r="L7" i="2"/>
  <c r="J4" i="4" s="1"/>
  <c r="C15" i="4" s="1"/>
  <c r="I8" i="2"/>
  <c r="I9" i="2"/>
  <c r="D7" i="5" s="1"/>
  <c r="I11" i="2"/>
  <c r="I12" i="2"/>
  <c r="I13" i="2"/>
  <c r="L13" i="2"/>
  <c r="H14" i="2"/>
  <c r="I14" i="2" s="1"/>
  <c r="L14" i="2"/>
  <c r="I16" i="2"/>
  <c r="D44" i="5" s="1"/>
  <c r="I17" i="2"/>
  <c r="F13" i="6" s="1"/>
  <c r="E48" i="5"/>
  <c r="I19" i="2"/>
  <c r="D11" i="4" s="1"/>
  <c r="D9" i="4"/>
  <c r="E47" i="5" s="1"/>
  <c r="I21" i="2"/>
  <c r="H20" i="2" l="1"/>
  <c r="D19" i="4" s="1"/>
  <c r="D6" i="5"/>
  <c r="N17" i="16"/>
  <c r="D5" i="5"/>
  <c r="E66" i="5"/>
  <c r="D27" i="5"/>
  <c r="D34" i="5"/>
  <c r="D35" i="5"/>
  <c r="E10" i="7"/>
  <c r="D29" i="5"/>
  <c r="D45" i="5"/>
  <c r="E46" i="5" s="1"/>
  <c r="E49" i="5" s="1"/>
  <c r="D28" i="5"/>
  <c r="E10" i="6"/>
  <c r="E7" i="6"/>
  <c r="F11" i="6"/>
  <c r="F6" i="6"/>
  <c r="F8" i="6" s="1"/>
  <c r="G39" i="5"/>
  <c r="D8" i="4"/>
  <c r="G63" i="5"/>
  <c r="G62" i="5"/>
  <c r="J18" i="4"/>
  <c r="J17" i="4"/>
  <c r="G11" i="4"/>
  <c r="G7" i="6"/>
  <c r="G41" i="5" s="1"/>
  <c r="B15" i="4"/>
  <c r="G10" i="6"/>
  <c r="G44" i="5" s="1"/>
  <c r="G13" i="6"/>
  <c r="G6" i="6"/>
  <c r="D11" i="7"/>
  <c r="D52" i="5"/>
  <c r="G5" i="5" s="1"/>
  <c r="D14" i="4"/>
  <c r="D55" i="5" s="1"/>
  <c r="J12" i="4"/>
  <c r="J9" i="4"/>
  <c r="G11" i="6"/>
  <c r="G45" i="5" s="1"/>
  <c r="E11" i="7"/>
  <c r="F10" i="7"/>
  <c r="D9" i="7"/>
  <c r="G6" i="7"/>
  <c r="D4" i="4"/>
  <c r="E23" i="5" s="1"/>
  <c r="E24" i="5" s="1"/>
  <c r="G12" i="6"/>
  <c r="G40" i="5" l="1"/>
  <c r="N29" i="16"/>
  <c r="G47" i="5"/>
  <c r="N26" i="16"/>
  <c r="E38" i="5"/>
  <c r="G11" i="7"/>
  <c r="G10" i="7" s="1"/>
  <c r="H10" i="2" s="1"/>
  <c r="I10" i="2" s="1"/>
  <c r="N13" i="16" s="1"/>
  <c r="D30" i="5"/>
  <c r="E31" i="5" s="1"/>
  <c r="K4" i="6"/>
  <c r="C18" i="6" s="1"/>
  <c r="G8" i="6"/>
  <c r="G42" i="5" s="1"/>
  <c r="C31" i="6"/>
  <c r="B17" i="6" s="1"/>
  <c r="D60" i="5"/>
  <c r="D14" i="7"/>
  <c r="G14" i="7"/>
  <c r="N15" i="16" l="1"/>
  <c r="O15" i="16" s="1"/>
  <c r="E15" i="5" s="1"/>
  <c r="E39" i="5" s="1"/>
  <c r="E50" i="5" s="1"/>
  <c r="I15" i="2"/>
  <c r="F9" i="6"/>
  <c r="F14" i="6" s="1"/>
  <c r="D5" i="4"/>
  <c r="D6" i="4" s="1"/>
  <c r="D12" i="4" s="1"/>
  <c r="G9" i="6"/>
  <c r="D17" i="4" l="1"/>
  <c r="D58" i="5" s="1"/>
  <c r="E53" i="5"/>
  <c r="G43" i="5"/>
  <c r="N25" i="16"/>
  <c r="N18" i="16"/>
  <c r="N19" i="16" s="1"/>
  <c r="O19" i="16" s="1"/>
  <c r="G14" i="6"/>
  <c r="G48" i="5" s="1"/>
  <c r="J8" i="4"/>
  <c r="J10" i="4" s="1"/>
  <c r="F16" i="6" l="1"/>
  <c r="O21" i="16"/>
  <c r="I10" i="15" s="1"/>
  <c r="I21" i="15" s="1"/>
  <c r="J21" i="15" s="1"/>
  <c r="E8" i="5"/>
  <c r="N27" i="16"/>
  <c r="O27" i="16" s="1"/>
  <c r="G16" i="6"/>
  <c r="J17" i="15" l="1"/>
  <c r="B6" i="2" s="1"/>
  <c r="C50" i="2" s="1"/>
  <c r="N30" i="16"/>
  <c r="N31" i="16" s="1"/>
  <c r="O31" i="16" s="1"/>
  <c r="O33" i="16" s="1"/>
  <c r="D1" i="4"/>
  <c r="G42" i="4" s="1"/>
  <c r="D46" i="2"/>
  <c r="G50" i="5"/>
  <c r="F1" i="4" l="1"/>
  <c r="D3" i="4"/>
  <c r="E19" i="5"/>
  <c r="D37" i="4"/>
  <c r="D15" i="4"/>
  <c r="C45" i="2" l="1"/>
  <c r="E20" i="5"/>
  <c r="D56" i="5"/>
  <c r="D57" i="5" s="1"/>
  <c r="D16" i="4"/>
  <c r="D18" i="4" l="1"/>
  <c r="D59" i="5" s="1"/>
  <c r="F15" i="6"/>
  <c r="G15" i="6" s="1"/>
  <c r="G49" i="5" l="1"/>
  <c r="G17" i="6"/>
  <c r="D20" i="4"/>
  <c r="F17" i="6" l="1"/>
  <c r="G52" i="5"/>
  <c r="G18" i="6"/>
  <c r="E61" i="5"/>
  <c r="D21" i="4"/>
  <c r="E62" i="5" s="1"/>
  <c r="G2" i="4" l="1"/>
  <c r="J11" i="4"/>
  <c r="J13" i="4" s="1"/>
  <c r="G53" i="5"/>
  <c r="F18" i="6" l="1"/>
  <c r="D38" i="4"/>
  <c r="D39" i="4" s="1"/>
  <c r="C28" i="4"/>
  <c r="G8" i="4"/>
  <c r="G4" i="4"/>
  <c r="M10" i="15"/>
  <c r="J14" i="4"/>
  <c r="J15" i="4"/>
  <c r="G16" i="4"/>
  <c r="D66" i="5" l="1"/>
  <c r="D41" i="4"/>
  <c r="D43" i="4" s="1"/>
  <c r="D68" i="5"/>
  <c r="J26" i="4"/>
  <c r="J32" i="4" s="1"/>
  <c r="J16" i="4" s="1"/>
  <c r="G26" i="4"/>
  <c r="F33" i="4" s="1"/>
  <c r="L16" i="15"/>
  <c r="M14" i="15"/>
  <c r="L14" i="15" s="1"/>
  <c r="D47" i="4" l="1"/>
  <c r="G9" i="4" s="1"/>
  <c r="D69" i="5" s="1"/>
  <c r="C52" i="2"/>
  <c r="D5" i="2"/>
  <c r="J19" i="4"/>
  <c r="G19" i="6" s="1"/>
  <c r="G28" i="4" l="1"/>
  <c r="G29" i="4" s="1"/>
  <c r="G12" i="4" s="1"/>
  <c r="E69" i="5" s="1"/>
  <c r="F12" i="4"/>
  <c r="G20" i="4" l="1"/>
  <c r="F19" i="6" s="1"/>
  <c r="F21" i="4" l="1"/>
  <c r="C46" i="2"/>
  <c r="C48" i="2" s="1"/>
  <c r="H46" i="2" s="1"/>
  <c r="G21" i="4"/>
  <c r="C28" i="2" s="1"/>
  <c r="C27" i="2"/>
  <c r="B25" i="2" l="1"/>
  <c r="B28" i="2"/>
  <c r="F71" i="5" s="1"/>
  <c r="G71" i="5"/>
  <c r="G20" i="6" l="1"/>
  <c r="F20" i="6" l="1"/>
  <c r="G55" i="5" s="1"/>
  <c r="G54" i="5"/>
  <c r="G26" i="6"/>
  <c r="F27" i="6" s="1"/>
  <c r="E26" i="6"/>
  <c r="F68" i="5" s="1"/>
  <c r="G68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Le, Chanh</author>
  </authors>
  <commentList>
    <comment ref="K11" authorId="0" shapeId="0" xr:uid="{923579B9-9868-469D-98A5-590C92AECD59}">
      <text>
        <r>
          <rPr>
            <sz val="9"/>
            <color indexed="81"/>
            <rFont val="Tahoma"/>
            <family val="2"/>
          </rPr>
          <t xml:space="preserve">FED + CFAP: when at least 1 CFAP+1 FED in the HH; otherwise, $FED only.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Le, Chanh</author>
    <author>techsupport</author>
  </authors>
  <commentList>
    <comment ref="C5" authorId="0" shapeId="0" xr:uid="{28152CF6-2907-48FA-A042-1F99603847BB}">
      <text>
        <r>
          <rPr>
            <sz val="9"/>
            <color indexed="81"/>
            <rFont val="Tahoma"/>
            <family val="2"/>
          </rPr>
          <t xml:space="preserve">To remove shelter cap,allow medical deduction, and exclude the HH from Gross Income Test. (Press Delete key to remove it)
</t>
        </r>
      </text>
    </comment>
    <comment ref="C7" authorId="0" shapeId="0" xr:uid="{EB04AC20-EB40-4E63-8B65-32D4CD37E162}">
      <text>
        <r>
          <rPr>
            <sz val="9"/>
            <color indexed="81"/>
            <rFont val="Tahoma"/>
            <family val="2"/>
          </rPr>
          <t xml:space="preserve">We never include IE student's income. Unless it's cash contribution to the HH. It's Unearned inc.
</t>
        </r>
      </text>
    </comment>
    <comment ref="D8" authorId="1" shapeId="0" xr:uid="{00000000-0006-0000-0100-000002000000}">
      <text>
        <r>
          <rPr>
            <sz val="9"/>
            <color indexed="81"/>
            <rFont val="Tahoma"/>
            <family val="2"/>
          </rPr>
          <t xml:space="preserve">
If Pt claims actual deduction, enter it
 here, with minus sign first.
</t>
        </r>
      </text>
    </comment>
    <comment ref="E8" authorId="1" shapeId="0" xr:uid="{00000000-0006-0000-0100-000003000000}">
      <text>
        <r>
          <rPr>
            <sz val="9"/>
            <color indexed="81"/>
            <rFont val="Tahoma"/>
            <family val="2"/>
          </rPr>
          <t xml:space="preserve">
Standard deduction 40%.</t>
        </r>
      </text>
    </comment>
    <comment ref="G8" authorId="0" shapeId="0" xr:uid="{F030FFCB-C678-406A-A159-554BBDDC32C5}">
      <text>
        <r>
          <rPr>
            <sz val="9"/>
            <color indexed="81"/>
            <rFont val="Tahoma"/>
            <family val="2"/>
          </rPr>
          <t xml:space="preserve">If Pt chose actual deduction and provided no verifications, we allow standard deduction 40%.
</t>
        </r>
      </text>
    </comment>
    <comment ref="C11" authorId="0" shapeId="0" xr:uid="{B94BDA48-41F7-4959-A391-9FAD0F3E78B1}">
      <text>
        <r>
          <rPr>
            <sz val="9"/>
            <color indexed="81"/>
            <rFont val="Tahoma"/>
            <family val="2"/>
          </rPr>
          <t xml:space="preserve"> PUA,PEUC,MEUC are included.
</t>
        </r>
      </text>
    </comment>
    <comment ref="D11" authorId="0" shapeId="0" xr:uid="{8474C4F9-5A1D-452C-8BF1-C9F6CBC9B6B5}">
      <text>
        <r>
          <rPr>
            <sz val="9"/>
            <color indexed="81"/>
            <rFont val="Tahoma"/>
            <family val="2"/>
          </rPr>
          <t xml:space="preserve">PUC/PAC, LWA/FAC,DUA, GSG &amp; Stimulus are excluded.
</t>
        </r>
      </text>
    </comment>
    <comment ref="C12" authorId="1" shapeId="0" xr:uid="{00000000-0006-0000-0100-000005000000}">
      <text>
        <r>
          <rPr>
            <sz val="9"/>
            <color indexed="81"/>
            <rFont val="Tahoma"/>
            <family val="2"/>
          </rPr>
          <t xml:space="preserve">
If child rec'd CW and C/S direct from AP, that C/S income is excluded.</t>
        </r>
      </text>
    </comment>
    <comment ref="D17" authorId="0" shapeId="0" xr:uid="{6CCEC48E-72A1-46A6-A0C6-544E25A83773}">
      <text>
        <r>
          <rPr>
            <sz val="9"/>
            <color indexed="81"/>
            <rFont val="Tahoma"/>
            <family val="2"/>
          </rPr>
          <t xml:space="preserve">If no undoc with income, we can enter the amount here.
</t>
        </r>
      </text>
    </comment>
    <comment ref="C19" authorId="0" shapeId="0" xr:uid="{491F9105-4340-499C-9A1D-9AF433AD70EE}">
      <text>
        <r>
          <rPr>
            <sz val="9"/>
            <color indexed="81"/>
            <rFont val="Tahoma"/>
            <family val="2"/>
          </rPr>
          <t xml:space="preserve">Monthly, not weekly...
</t>
        </r>
      </text>
    </comment>
    <comment ref="C28" authorId="0" shapeId="0" xr:uid="{F164CA6B-6772-4B21-A0A6-1D4C3DDF38BB}">
      <text>
        <r>
          <rPr>
            <sz val="9"/>
            <color indexed="81"/>
            <rFont val="Tahoma"/>
            <family val="2"/>
          </rPr>
          <t xml:space="preserve">This one is not for CFAP case.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techsupport</author>
    <author>Le, Chanh</author>
  </authors>
  <commentList>
    <comment ref="C3" authorId="0" shapeId="0" xr:uid="{00000000-0006-0000-0400-000001000000}">
      <text>
        <r>
          <rPr>
            <sz val="9"/>
            <color indexed="81"/>
            <rFont val="Tahoma"/>
            <family val="2"/>
          </rPr>
          <t xml:space="preserve">
number of all undoc when one has income. Make sure to include it in the shelter proration,Data tab.</t>
        </r>
      </text>
    </comment>
    <comment ref="G5" authorId="1" shapeId="0" xr:uid="{4699465C-B223-4BCF-BAC0-1C18D9F7D565}">
      <text>
        <r>
          <rPr>
            <sz val="9"/>
            <color indexed="81"/>
            <rFont val="Tahoma"/>
            <family val="2"/>
          </rPr>
          <t xml:space="preserve">If 1 is here, make sure to enter 1 on cell C5, Data tab.
</t>
        </r>
      </text>
    </comment>
    <comment ref="C7" authorId="0" shapeId="0" xr:uid="{00000000-0006-0000-0400-000002000000}">
      <text>
        <r>
          <rPr>
            <sz val="9"/>
            <color indexed="81"/>
            <rFont val="Tahoma"/>
            <family val="2"/>
          </rPr>
          <t xml:space="preserve">
For $100 SE with 40% deduction: type: =100*.6 
For $100 SE with $55 actual deduction: type: =100-55
For $99 EI plus $100 SE type: =99+100*.6
</t>
        </r>
        <r>
          <rPr>
            <b/>
            <sz val="9"/>
            <color indexed="81"/>
            <rFont val="Tahoma"/>
            <family val="2"/>
          </rPr>
          <t>Press Enter key after typing.</t>
        </r>
      </text>
    </comment>
    <comment ref="E9" authorId="1" shapeId="0" xr:uid="{00000000-0006-0000-0400-000003000000}">
      <text>
        <r>
          <rPr>
            <sz val="9"/>
            <color indexed="81"/>
            <rFont val="Tahoma"/>
            <family val="2"/>
          </rPr>
          <t xml:space="preserve">If particiipants receive Calworks, devide it by the number receiving  then multiply by the number of CFAP receiving .
</t>
        </r>
      </text>
    </comment>
    <comment ref="E12" authorId="1" shapeId="0" xr:uid="{00000000-0006-0000-0400-000004000000}">
      <text>
        <r>
          <rPr>
            <sz val="9"/>
            <color indexed="81"/>
            <rFont val="Tahoma"/>
            <family val="2"/>
          </rPr>
          <t xml:space="preserve">To have the right medical 
deduction for Fed.,  subtract it from the total and enter the diifference here.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RRead</author>
  </authors>
  <commentList>
    <comment ref="C2" authorId="0" shapeId="0" xr:uid="{00000000-0006-0000-0500-000001000000}">
      <text>
        <r>
          <rPr>
            <sz val="8"/>
            <color indexed="81"/>
            <rFont val="Tahoma"/>
            <family val="2"/>
          </rPr>
          <t xml:space="preserve">This worksheet should only be completed for cash aid cases on which FS-excluded aliens are aided along with persons who receive FS. 
This worksheet can accommodate up to three such cash aid cases. </t>
        </r>
      </text>
    </comment>
  </commentList>
</comments>
</file>

<file path=xl/sharedStrings.xml><?xml version="1.0" encoding="utf-8"?>
<sst xmlns="http://schemas.openxmlformats.org/spreadsheetml/2006/main" count="588" uniqueCount="473">
  <si>
    <t>1.</t>
  </si>
  <si>
    <t>2.</t>
  </si>
  <si>
    <t>Case Name:</t>
  </si>
  <si>
    <t>Case Number:</t>
  </si>
  <si>
    <t>3.</t>
  </si>
  <si>
    <t>4.</t>
  </si>
  <si>
    <t>5.</t>
  </si>
  <si>
    <t>Budget Month:</t>
  </si>
  <si>
    <t>Gross Salary, Wages</t>
  </si>
  <si>
    <t>Training Allowance</t>
  </si>
  <si>
    <t>Cash Aid</t>
  </si>
  <si>
    <t>Social Security, UIB, DIB, Pensions</t>
  </si>
  <si>
    <t>Child/Spousal Support</t>
  </si>
  <si>
    <t>Scholarships, Grants, Loans</t>
  </si>
  <si>
    <t>Total Housing Costs</t>
  </si>
  <si>
    <t>Totals</t>
  </si>
  <si>
    <t>Total Gross Monthly Income</t>
  </si>
  <si>
    <t>Maximum Gross Income Allowed</t>
  </si>
  <si>
    <t>Adjusted Gross Earned Income (80% Gross)</t>
  </si>
  <si>
    <t xml:space="preserve">Net Income </t>
  </si>
  <si>
    <t>Total Gross Unearned Income</t>
  </si>
  <si>
    <t>Max Net Income</t>
  </si>
  <si>
    <t>Total Non-exempt Gross Income</t>
  </si>
  <si>
    <t>Net Income Eligible?</t>
  </si>
  <si>
    <t>Standard Deduction</t>
  </si>
  <si>
    <t>Total Dependent Care Deductions</t>
  </si>
  <si>
    <t>Thrifty Food Plan</t>
  </si>
  <si>
    <t>Adjusted Income</t>
  </si>
  <si>
    <t>30% of Net Income</t>
  </si>
  <si>
    <t>SHELTER DEDUCTION</t>
  </si>
  <si>
    <t>Proration</t>
  </si>
  <si>
    <t>Monthly Allotment</t>
  </si>
  <si>
    <t>Housing</t>
  </si>
  <si>
    <t>Prorated Days</t>
  </si>
  <si>
    <t>Proration Factor</t>
  </si>
  <si>
    <t>Total Shelter Costs</t>
  </si>
  <si>
    <t>Prorated Allotment</t>
  </si>
  <si>
    <t>Excess Shelter Costs</t>
  </si>
  <si>
    <t>Maximum Allowance for Shelter</t>
  </si>
  <si>
    <t>Allowable Shelter Deduction</t>
  </si>
  <si>
    <t>Homeless Shelter Deduction</t>
  </si>
  <si>
    <t>Homesless Shelter</t>
  </si>
  <si>
    <t>SUA</t>
  </si>
  <si>
    <t>Household Size</t>
  </si>
  <si>
    <t>FOOD STAMP BUDGET WORKSHEET</t>
  </si>
  <si>
    <t>HH Type:</t>
  </si>
  <si>
    <t>PART 1 - GROSS INCOME ELIGIBILITY</t>
  </si>
  <si>
    <t>Issuance Month:</t>
  </si>
  <si>
    <t>DOCUMENTATION</t>
  </si>
  <si>
    <t>A.</t>
  </si>
  <si>
    <t>NONEXEMPT GROSS EARNED INCOME</t>
  </si>
  <si>
    <t>Self-Employment</t>
  </si>
  <si>
    <t>B.</t>
  </si>
  <si>
    <t>NONEXEMPT GROSS UNEARNED INCOME</t>
  </si>
  <si>
    <t>Other</t>
  </si>
  <si>
    <t>6.</t>
  </si>
  <si>
    <t>C.</t>
  </si>
  <si>
    <t>GROSS INCOME TEST</t>
  </si>
  <si>
    <t>Maximum Gross Income Allowed (from Table)</t>
  </si>
  <si>
    <t>Total Gross Monthly Income (A4+B6)</t>
  </si>
  <si>
    <t>Gross Income Eligible?  (Is C3 &lt;= C2?)</t>
  </si>
  <si>
    <t>PART 2 - NET INCOME ELIGIBILITY</t>
  </si>
  <si>
    <t>Budget Type:</t>
  </si>
  <si>
    <t>D.</t>
  </si>
  <si>
    <t>Adjusted Gross Earned Income (80% of A4)</t>
  </si>
  <si>
    <t>Total Nonexempt Gross Income (B6+D1)</t>
  </si>
  <si>
    <t>E.</t>
  </si>
  <si>
    <t>Total Gross Earned Income (E1+E2+E3)</t>
  </si>
  <si>
    <t>Adjusted Gross Earned Income (80% of E4)</t>
  </si>
  <si>
    <t>F.</t>
  </si>
  <si>
    <t>Total Gross Unearned Income (F1+F2+F3+F4+F5)</t>
  </si>
  <si>
    <t>7.</t>
  </si>
  <si>
    <t>Total Nonexempt Gross Income (E5+F6)</t>
  </si>
  <si>
    <t>G.</t>
  </si>
  <si>
    <t>STANDARD / DEPENDENT CARE / HOMELESS</t>
  </si>
  <si>
    <t>SHELTER / DEDUCTION</t>
  </si>
  <si>
    <t>Dependent Care (Lesser of Actual or Maximum)</t>
  </si>
  <si>
    <t>Child(ren) under two</t>
  </si>
  <si>
    <t>Child(ren) two and over/all other dependents</t>
  </si>
  <si>
    <t>Total Dependent Deductions</t>
  </si>
  <si>
    <t>3A</t>
  </si>
  <si>
    <t>Excess Medical Expense for Aged/Disabled</t>
  </si>
  <si>
    <t>Total Deductions (G1+G2+G3+G3A)</t>
  </si>
  <si>
    <t>Preliminary Adjusted Income (D2-G4 or F7-G4)</t>
  </si>
  <si>
    <t>H.</t>
  </si>
  <si>
    <t>Total Legally Obligated Child Support paid out by HH</t>
  </si>
  <si>
    <t>Adjusted Income (G5-H1)</t>
  </si>
  <si>
    <t>I.</t>
  </si>
  <si>
    <t>Total Utility Costs (Actual or SUA)</t>
  </si>
  <si>
    <t>Allowable Shelter Deduction (Lesser of I5 or I6)</t>
  </si>
  <si>
    <t>J.</t>
  </si>
  <si>
    <t>NET MONTHLY INCOME</t>
  </si>
  <si>
    <t>K.</t>
  </si>
  <si>
    <t>NET INCOME TEST</t>
  </si>
  <si>
    <t>Maximum Net Income Allowable</t>
  </si>
  <si>
    <t xml:space="preserve">Net Income eligible?  </t>
  </si>
  <si>
    <t>Allowable Shelter Costs (50% of H2)</t>
  </si>
  <si>
    <t>Allowable Shelter Costs (50% of Adjusted Income)</t>
  </si>
  <si>
    <t>Extended Lookup Tables</t>
  </si>
  <si>
    <t>Maximum Allotment (Max_A)</t>
  </si>
  <si>
    <t>Budget Constants (B_Cons)</t>
  </si>
  <si>
    <t>Maximum Net Income (M_Net)</t>
  </si>
  <si>
    <t>Type (Prospective = 1, Retro. = 2):</t>
  </si>
  <si>
    <t>Gross Salary, Wages:</t>
  </si>
  <si>
    <t>Training Allowance:</t>
  </si>
  <si>
    <t>Cash Aid:</t>
  </si>
  <si>
    <t>Social Security, UIB, DIB, Pensions:</t>
  </si>
  <si>
    <t>Child/Spousal Support:</t>
  </si>
  <si>
    <t>Scholarships, Grants, Loans:</t>
  </si>
  <si>
    <t>Homeless Shelter?  (If Yes, enter 1):</t>
  </si>
  <si>
    <t>Care of Children Under 2 Years Old:</t>
  </si>
  <si>
    <t>Count of Others to Prorate Rent:</t>
  </si>
  <si>
    <t>Count of Others to Prorate Utilities:</t>
  </si>
  <si>
    <t>Begin Day:</t>
  </si>
  <si>
    <t>out of:</t>
  </si>
  <si>
    <t>Other Non-Earned Income/Sactions:</t>
  </si>
  <si>
    <t>Minimum Allotment Max Income (MAMI)</t>
  </si>
  <si>
    <t>Min Allotment</t>
  </si>
  <si>
    <t>INCOME (For Non-PA Prospective Budgets Only)</t>
  </si>
  <si>
    <t>NONEXEMPT GROSS EARNED INCOME (Non-PA)</t>
  </si>
  <si>
    <t>(For Non-PA Retrospective &amp; PA Budgets Only)</t>
  </si>
  <si>
    <t>for Gross Income Test</t>
  </si>
  <si>
    <t>Persons Count</t>
  </si>
  <si>
    <t>Excluded</t>
  </si>
  <si>
    <t>Preliminary Adjusted Income</t>
  </si>
  <si>
    <t>Allowable Shelter</t>
  </si>
  <si>
    <t>Net Income</t>
  </si>
  <si>
    <t>Earned Income of Excluded Persons</t>
  </si>
  <si>
    <t>80% of Total Earned Income</t>
  </si>
  <si>
    <t>Unearned Income of Excluded Persons</t>
  </si>
  <si>
    <t>Earned Income of FS Persons</t>
  </si>
  <si>
    <t>Unearned Income of FS Persons</t>
  </si>
  <si>
    <t>Notes:</t>
  </si>
  <si>
    <t>Combined HH</t>
  </si>
  <si>
    <t>Federal HH</t>
  </si>
  <si>
    <t>Calculation Columns</t>
  </si>
  <si>
    <t>Overissuance Adjustment</t>
  </si>
  <si>
    <t>O/I Adjustment Amount</t>
  </si>
  <si>
    <t>Prorated</t>
  </si>
  <si>
    <t>Excluded Person Data Entry</t>
  </si>
  <si>
    <t>and/or CFAP Budget Calculation</t>
  </si>
  <si>
    <t>For Federal HH</t>
  </si>
  <si>
    <t>Min Allotment, Fed. HH</t>
  </si>
  <si>
    <t>Combined Household Type</t>
  </si>
  <si>
    <t>Federal HH Type (1 = PA, 2 = NA)</t>
  </si>
  <si>
    <t>Aged/Disabled Person in Combined HH?</t>
  </si>
  <si>
    <t>Maximum Shelter Deduction</t>
  </si>
  <si>
    <t>Month =&gt;</t>
  </si>
  <si>
    <t>(N/A for PA HH.)</t>
  </si>
  <si>
    <t>Gross Income Eligible?</t>
  </si>
  <si>
    <t>Net FS Allotment</t>
  </si>
  <si>
    <t>Gross Income Eligible? (N/A for PA or Aged/Disabled HH)</t>
  </si>
  <si>
    <t>Self-Employment ("-" before expenses):</t>
  </si>
  <si>
    <t>Other Deductions</t>
  </si>
  <si>
    <t>Excess Medical Deduction</t>
  </si>
  <si>
    <t>Excluded Perons</t>
  </si>
  <si>
    <t>SSN/Alien</t>
  </si>
  <si>
    <t>Cash Cases</t>
  </si>
  <si>
    <t>1st</t>
  </si>
  <si>
    <t>2nd</t>
  </si>
  <si>
    <t>3rd</t>
  </si>
  <si>
    <t>Excluded Persons:</t>
  </si>
  <si>
    <t>WS Data</t>
  </si>
  <si>
    <t>Earned:</t>
  </si>
  <si>
    <t>Unearned:</t>
  </si>
  <si>
    <t>Basic Instructions:</t>
  </si>
  <si>
    <t>Enter these on worksheets  Ex_CFAP and/or Ex_Aid.</t>
  </si>
  <si>
    <t>Others *</t>
  </si>
  <si>
    <t>(CFAP:) Is Federal HH PA?</t>
  </si>
  <si>
    <t>1. Number of Persons on Cash Aid.</t>
  </si>
  <si>
    <t>3. Number of Cash Recipients Who are Ineligible for FS. (Line #1-Line #2)</t>
  </si>
  <si>
    <t>6. Share of Grant Excluded from FS Budget. (Line #5xLine #3)</t>
  </si>
  <si>
    <t>7. Share of Grant Included in FS Budget. (Line #5xLine #2)</t>
  </si>
  <si>
    <t>Cash Case</t>
  </si>
  <si>
    <t>Computation Adapted from Form #63-39 (Revised 8/1/97)</t>
  </si>
  <si>
    <t xml:space="preserve">    (Include in CFAP Unearned Income entered on worksheet Ex_CFAP.) </t>
  </si>
  <si>
    <t xml:space="preserve">"Error!" appears in Line #3 in any column where the number of FS eligible persons (Line #2) exceeds the number of </t>
  </si>
  <si>
    <t>cash aid persons on Line #1.</t>
  </si>
  <si>
    <t>Enter directly or copy data from worksheet Data.</t>
  </si>
  <si>
    <t>If income amount change between these months, add, delete, or edit the copied income figures as needed.</t>
  </si>
  <si>
    <t xml:space="preserve">If Excluded Person income changes between months, manual calculations can be avoided.  </t>
  </si>
  <si>
    <t xml:space="preserve">   First, enter Eligibility month figures on worksheets Ex_CFAP and/or Ex_Aid before clicking the Copy button.</t>
  </si>
  <si>
    <t xml:space="preserve">   After copying the results from worksheet Data, revise worksheets Ex_CFAP and Ex_Aid for the issuance calculation.</t>
  </si>
  <si>
    <t>Note:  The Line #6 total (Share of Grant Excluded from FS Budget is automatically transferred to worksheet Data.</t>
  </si>
  <si>
    <t xml:space="preserve">          The Line #9 total (CFAP Share of Cash Grant) must be manually added to CFAP unearned income total entered on</t>
  </si>
  <si>
    <t xml:space="preserve">         worksheet Ex_CFAP in cell E9.</t>
  </si>
  <si>
    <t>"Error!" appears in cell G5 if the total of FS eligible persons in block D5:F5 exceeds the number of FS persons</t>
  </si>
  <si>
    <t xml:space="preserve"> on Worksheet Data in cell C3 (which is the Maximum indicated on Line #2 above.).  </t>
  </si>
  <si>
    <t>Messages and red-shaded cells warn of inconsistencies:</t>
  </si>
  <si>
    <t>The Cash Aid total in column G is shaded red if it exceeds the total on worksheet Data amount indicated on line #4.</t>
  </si>
  <si>
    <t>worksheet Ex_CFAP.</t>
  </si>
  <si>
    <t>message appears on Line #7 or above.</t>
  </si>
  <si>
    <t>The totals amounts for excluded grant (Cell G11) and included grant (Cell G12) remain $0.00 while any error</t>
  </si>
  <si>
    <t xml:space="preserve">     FS issuance calculation.  Clicking the Copy button transfers income data from worksheet Data to this worksheet.</t>
  </si>
  <si>
    <t>This worksheet is only used when a gross income test must be applied to a month different from the one used for the</t>
  </si>
  <si>
    <t>Legally Obligated Child/Spousal Support Paid Out</t>
  </si>
  <si>
    <t>Housholds with Ineligible Legal Non-Citizens</t>
  </si>
  <si>
    <t>Proration of Cash Aid for Food Stamps</t>
  </si>
  <si>
    <t>B. CFAP Share of Cash Grant. (Line #5 xLine #8)</t>
  </si>
  <si>
    <t>"Error!" appears on Line #B in any column where the number of CFAP persons exceeds the number entered on</t>
  </si>
  <si>
    <t>5. Each Cash-Aided Person's Share of Grant. (Line #4/Line #1)</t>
  </si>
  <si>
    <t>Amount Issued:</t>
  </si>
  <si>
    <t xml:space="preserve">Error Amount </t>
  </si>
  <si>
    <t>Recalculated Amount:</t>
  </si>
  <si>
    <t>Working Note: Cell G12 modified to show 0 rather than N/A if G4 or D3 are "No".</t>
  </si>
  <si>
    <t>Shelt.Max:</t>
  </si>
  <si>
    <t>Max Shelter Override Amounts (MSO)</t>
  </si>
  <si>
    <t xml:space="preserve">Override Amount </t>
  </si>
  <si>
    <t>Regular Table Amount</t>
  </si>
  <si>
    <t>Max Shelter Override Mechanism</t>
  </si>
  <si>
    <t>Cert.Begin (mo/da/yr):</t>
  </si>
  <si>
    <t>month will show in Cell H20 even if it is not used</t>
  </si>
  <si>
    <t>in the allotment computation.</t>
  </si>
  <si>
    <t>Cell F20 turns red if Review Month is prior to the</t>
  </si>
  <si>
    <t>Cert. Begin date.</t>
  </si>
  <si>
    <t>Max Override Step (MOS)</t>
  </si>
  <si>
    <t xml:space="preserve">Note: The Shelter Expense Maximum for the </t>
  </si>
  <si>
    <t xml:space="preserve">Certification Date:  </t>
  </si>
  <si>
    <t>Issuance/Review Month (MO/YEAR):</t>
  </si>
  <si>
    <t>Standard Deduction for 5 Persons</t>
  </si>
  <si>
    <t>Standard Deduction for 6 or More Persons</t>
  </si>
  <si>
    <t>Standard Deduction Table Line</t>
  </si>
  <si>
    <t>Max Shelter Deduction*</t>
  </si>
  <si>
    <t>*Note: See Table MSO for Certification-Date-driven Shelter Maximums for 03/01-09/02.</t>
  </si>
  <si>
    <t>Housing Costs:</t>
  </si>
  <si>
    <t>Items that must always be entered for accurate budget calculations are shaded dark yellow.</t>
  </si>
  <si>
    <t>Items that are entered as needed for the particular budget are shaded light yellow.</t>
  </si>
  <si>
    <t>Some non-input cells have notes attached. Move cursor to cells with red tabs to see notes:</t>
  </si>
  <si>
    <t>Caseload Position Number:</t>
  </si>
  <si>
    <t>Budget Calculated by:</t>
  </si>
  <si>
    <t xml:space="preserve">Different Month Income Data </t>
  </si>
  <si>
    <t>*  "Others" include persons excluded for IPV, Workfare, and work requirement sanctions.  Do not enter income of</t>
  </si>
  <si>
    <t xml:space="preserve">  Cell G8 is green if less than total aid on worksheet Data, red if greater.)</t>
  </si>
  <si>
    <t>SUA Proration Block for Prospective</t>
  </si>
  <si>
    <t>SUA Proration Block for Retrospecive</t>
  </si>
  <si>
    <t>Block Proration?</t>
  </si>
  <si>
    <t>Attempted Proration Blocked?</t>
  </si>
  <si>
    <t xml:space="preserve">             in the yellow shaded area.  </t>
  </si>
  <si>
    <t>This area does not word wrap.  Each line must be entered</t>
  </si>
  <si>
    <t>separately.  Anything that extends out of the shaded area</t>
  </si>
  <si>
    <t xml:space="preserve">will not show on the printed DFA 285B. </t>
  </si>
  <si>
    <t>&lt;===  Enter comments to be printed on DFA 285B</t>
  </si>
  <si>
    <r>
      <t>Two special-purpose worksheets are also included</t>
    </r>
    <r>
      <rPr>
        <sz val="10"/>
        <rFont val="Arial"/>
        <family val="2"/>
      </rPr>
      <t>:</t>
    </r>
  </si>
  <si>
    <r>
      <t xml:space="preserve">Click the </t>
    </r>
    <r>
      <rPr>
        <b/>
        <sz val="10"/>
        <rFont val="Arial"/>
        <family val="2"/>
      </rPr>
      <t>Clear Data</t>
    </r>
    <r>
      <rPr>
        <sz val="10"/>
        <rFont val="Arial"/>
        <family val="2"/>
      </rPr>
      <t xml:space="preserve"> button to erase all previous budget information. </t>
    </r>
  </si>
  <si>
    <r>
      <t xml:space="preserve">Enter basic budget information on worksheet </t>
    </r>
    <r>
      <rPr>
        <b/>
        <sz val="10"/>
        <rFont val="Arial"/>
        <family val="2"/>
      </rPr>
      <t>Data</t>
    </r>
    <r>
      <rPr>
        <sz val="10"/>
        <rFont val="Arial"/>
        <family val="2"/>
      </rPr>
      <t>.  (A few special calculations require other worksheets.)</t>
    </r>
  </si>
  <si>
    <r>
      <t xml:space="preserve">Worksheet </t>
    </r>
    <r>
      <rPr>
        <b/>
        <sz val="10"/>
        <rFont val="Arial"/>
        <family val="2"/>
      </rPr>
      <t>Ex_CFAP</t>
    </r>
    <r>
      <rPr>
        <sz val="10"/>
        <rFont val="Arial"/>
        <family val="2"/>
      </rPr>
      <t xml:space="preserve"> calculates Excluded Person income and Federal share of cost for CFAP cases.</t>
    </r>
  </si>
  <si>
    <r>
      <t xml:space="preserve">Worksheet </t>
    </r>
    <r>
      <rPr>
        <b/>
        <sz val="10"/>
        <rFont val="Arial"/>
        <family val="2"/>
      </rPr>
      <t>Ex_Aid</t>
    </r>
    <r>
      <rPr>
        <sz val="10"/>
        <rFont val="Arial"/>
        <family val="2"/>
      </rPr>
      <t xml:space="preserve"> is used when cash aided persons are excluded from FS.</t>
    </r>
  </si>
  <si>
    <r>
      <t xml:space="preserve">has already been applied to benefits issued for a month, enter the amount on worksheet </t>
    </r>
    <r>
      <rPr>
        <b/>
        <sz val="10"/>
        <rFont val="Arial"/>
        <family val="2"/>
      </rPr>
      <t>Results</t>
    </r>
    <r>
      <rPr>
        <sz val="10"/>
        <rFont val="Arial"/>
        <family val="2"/>
      </rPr>
      <t>.</t>
    </r>
  </si>
  <si>
    <r>
      <t xml:space="preserve">(Another print button located just to the right of the budget form on worksheet </t>
    </r>
    <r>
      <rPr>
        <b/>
        <sz val="10"/>
        <rFont val="Arial"/>
        <family val="2"/>
      </rPr>
      <t>DFA_285B</t>
    </r>
    <r>
      <rPr>
        <sz val="10"/>
        <rFont val="Arial"/>
        <family val="2"/>
      </rPr>
      <t>.)</t>
    </r>
  </si>
  <si>
    <r>
      <t xml:space="preserve">FS budget results may be viewed on worksheets </t>
    </r>
    <r>
      <rPr>
        <b/>
        <sz val="10"/>
        <rFont val="Arial"/>
        <family val="2"/>
      </rPr>
      <t>Results</t>
    </r>
    <r>
      <rPr>
        <sz val="10"/>
        <rFont val="Arial"/>
        <family val="2"/>
      </rPr>
      <t xml:space="preserve"> or </t>
    </r>
    <r>
      <rPr>
        <b/>
        <sz val="10"/>
        <rFont val="Arial"/>
        <family val="2"/>
      </rPr>
      <t>DFA_285B</t>
    </r>
    <r>
      <rPr>
        <sz val="10"/>
        <rFont val="Arial"/>
        <family val="2"/>
      </rPr>
      <t xml:space="preserve">.  Click </t>
    </r>
    <r>
      <rPr>
        <b/>
        <sz val="10"/>
        <rFont val="Arial"/>
        <family val="2"/>
      </rPr>
      <t>Print DFA 285B</t>
    </r>
    <r>
      <rPr>
        <sz val="10"/>
        <rFont val="Arial"/>
        <family val="2"/>
      </rPr>
      <t xml:space="preserve"> button</t>
    </r>
  </si>
  <si>
    <r>
      <t xml:space="preserve">above to print the budget in DFA 285B format.  Budget notes may be entered on worksheet </t>
    </r>
    <r>
      <rPr>
        <b/>
        <sz val="10"/>
        <rFont val="Arial"/>
        <family val="2"/>
      </rPr>
      <t>DFA 285B</t>
    </r>
    <r>
      <rPr>
        <sz val="10"/>
        <rFont val="Arial"/>
        <family val="2"/>
      </rPr>
      <t>.</t>
    </r>
  </si>
  <si>
    <r>
      <t xml:space="preserve">Worksheet </t>
    </r>
    <r>
      <rPr>
        <b/>
        <sz val="10"/>
        <rFont val="Arial"/>
        <family val="2"/>
      </rPr>
      <t>Elig_Data</t>
    </r>
    <r>
      <rPr>
        <sz val="10"/>
        <rFont val="Arial"/>
        <family val="2"/>
      </rPr>
      <t xml:space="preserve"> is used for a Gross Income Test when applied to a different month.  If an O/I adjustment</t>
    </r>
  </si>
  <si>
    <t>Enter case information for DFA 285B printout.  For O/I &amp; U/I budgets enter amount already issued.</t>
  </si>
  <si>
    <r>
      <t>Note</t>
    </r>
    <r>
      <rPr>
        <sz val="10"/>
        <rFont val="Arial"/>
        <family val="2"/>
      </rPr>
      <t xml:space="preserve">:  Budget will not function if Excel's </t>
    </r>
    <r>
      <rPr>
        <b/>
        <sz val="10"/>
        <rFont val="Arial"/>
        <family val="2"/>
      </rPr>
      <t>Macro Security</t>
    </r>
    <r>
      <rPr>
        <sz val="10"/>
        <rFont val="Arial"/>
        <family val="2"/>
      </rPr>
      <t xml:space="preserve"> is set at </t>
    </r>
    <r>
      <rPr>
        <b/>
        <sz val="10"/>
        <rFont val="Arial"/>
        <family val="2"/>
      </rPr>
      <t>High</t>
    </r>
    <r>
      <rPr>
        <sz val="10"/>
        <rFont val="Arial"/>
        <family val="2"/>
      </rPr>
      <t xml:space="preserve">.  To reset click </t>
    </r>
    <r>
      <rPr>
        <b/>
        <sz val="10"/>
        <rFont val="Arial"/>
        <family val="2"/>
      </rPr>
      <t>Tools</t>
    </r>
    <r>
      <rPr>
        <sz val="10"/>
        <rFont val="Arial"/>
        <family val="2"/>
      </rPr>
      <t xml:space="preserve"> in the menu</t>
    </r>
  </si>
  <si>
    <r>
      <t xml:space="preserve">bar, then click </t>
    </r>
    <r>
      <rPr>
        <b/>
        <sz val="10"/>
        <rFont val="@Arial Unicode MS"/>
        <family val="2"/>
      </rPr>
      <t>Macro</t>
    </r>
    <r>
      <rPr>
        <sz val="10"/>
        <rFont val="@Arial Unicode MS"/>
        <family val="2"/>
      </rPr>
      <t xml:space="preserve"> and </t>
    </r>
    <r>
      <rPr>
        <b/>
        <sz val="10"/>
        <rFont val="@Arial Unicode MS"/>
        <family val="2"/>
      </rPr>
      <t>Security</t>
    </r>
    <r>
      <rPr>
        <sz val="10"/>
        <rFont val="@Arial Unicode MS"/>
        <family val="2"/>
      </rPr>
      <t xml:space="preserve"> in the cascading menus.  Next select </t>
    </r>
    <r>
      <rPr>
        <b/>
        <sz val="10"/>
        <rFont val="@Arial Unicode MS"/>
        <family val="2"/>
      </rPr>
      <t>Medium</t>
    </r>
    <r>
      <rPr>
        <sz val="10"/>
        <rFont val="@Arial Unicode MS"/>
        <family val="2"/>
      </rPr>
      <t xml:space="preserve"> in the </t>
    </r>
    <r>
      <rPr>
        <b/>
        <sz val="10"/>
        <rFont val="@Arial Unicode MS"/>
        <family val="2"/>
      </rPr>
      <t>Security</t>
    </r>
  </si>
  <si>
    <r>
      <t xml:space="preserve">dialouge box.  Finally, close and reopen the budget and select </t>
    </r>
    <r>
      <rPr>
        <b/>
        <sz val="10"/>
        <rFont val="@Arial Unicode MS"/>
        <family val="2"/>
      </rPr>
      <t>Enable Macros</t>
    </r>
    <r>
      <rPr>
        <sz val="10"/>
        <rFont val="@Arial Unicode MS"/>
        <family val="2"/>
      </rPr>
      <t xml:space="preserve"> when asked.</t>
    </r>
  </si>
  <si>
    <t>Version: FSBudg55a.xls released 10/23/03</t>
  </si>
  <si>
    <t>Standard Deduction for 4 Persons</t>
  </si>
  <si>
    <t>Standard Deduction for 1-3 (-4) Persons</t>
  </si>
  <si>
    <r>
      <t>(File Name: FSBudg60c.xls:</t>
    </r>
    <r>
      <rPr>
        <sz val="10"/>
        <rFont val="Arial"/>
        <family val="2"/>
      </rPr>
      <t xml:space="preserve"> WARNING: Not modified for Quarterly Reporting.) </t>
    </r>
  </si>
  <si>
    <t xml:space="preserve"> </t>
  </si>
  <si>
    <t>200 % Comp</t>
  </si>
  <si>
    <t>MAMI is Found in the  CF Allotment Tables</t>
  </si>
  <si>
    <t>Regular Maximum Gross (R_MG) 200%</t>
  </si>
  <si>
    <t># CF Eligible:</t>
  </si>
  <si>
    <t>$ Calworks sanctioned is not real income.</t>
  </si>
  <si>
    <t>Note: Unlike Excluded Persons, CFAP income and deductions must also be manually entered on the Data sheet.</t>
  </si>
  <si>
    <t>1. If CFAP has income, select from line E15</t>
  </si>
  <si>
    <t>2. If CFAP has no income, select "0" from line E15</t>
  </si>
  <si>
    <t>Prorated $ Amount:</t>
  </si>
  <si>
    <t># Undocumented</t>
  </si>
  <si>
    <r>
      <t>Enter Undoc income on</t>
    </r>
    <r>
      <rPr>
        <b/>
        <sz val="10"/>
        <rFont val="Arial"/>
        <family val="2"/>
      </rPr>
      <t xml:space="preserve"> Ex-CFAP</t>
    </r>
    <r>
      <rPr>
        <sz val="10"/>
        <rFont val="Arial"/>
        <family val="2"/>
      </rPr>
      <t xml:space="preserve"> tab. "Not on this Tab"</t>
    </r>
  </si>
  <si>
    <r>
      <t xml:space="preserve">Dependent Care Expense </t>
    </r>
    <r>
      <rPr>
        <sz val="9"/>
        <color rgb="FF0070C0"/>
        <rFont val="Arial"/>
        <family val="2"/>
      </rPr>
      <t>(See Dep Care Tab)</t>
    </r>
  </si>
  <si>
    <t>to change it back.</t>
  </si>
  <si>
    <t xml:space="preserve">Data tab, change MCE to type 2. Make sure </t>
  </si>
  <si>
    <t>If you want to see all income listed, go to</t>
  </si>
  <si>
    <t>Child/Spousal Support Income:</t>
  </si>
  <si>
    <t>Total:</t>
  </si>
  <si>
    <t>CHILD SUPPORT DEDUCTION  (Exclusion eff. 11/2006)</t>
  </si>
  <si>
    <t>Amt. paid .</t>
  </si>
  <si>
    <t>Calculator to Determine the Pro-Rated $ amount for Child Care when the Undocumented Persons have income / pay for Child Care</t>
  </si>
  <si>
    <t>Household Person Count: (fed + cfap)</t>
  </si>
  <si>
    <t>Checks #</t>
  </si>
  <si>
    <t>$$</t>
  </si>
  <si>
    <t># of checks:</t>
  </si>
  <si>
    <t>If bi-weekly:</t>
  </si>
  <si>
    <t>If semi-monthly</t>
  </si>
  <si>
    <t>Other Non-Earned Income/CW Sanctions:</t>
  </si>
  <si>
    <t>Checks missing:</t>
  </si>
  <si>
    <t>First check</t>
  </si>
  <si>
    <t>Last check</t>
  </si>
  <si>
    <t>YTD</t>
  </si>
  <si>
    <t xml:space="preserve">Undoc with self-employment income: </t>
  </si>
  <si>
    <t xml:space="preserve">With 40% deduction: </t>
  </si>
  <si>
    <t>Undoc with EI and self-employment income: $900 EI and $1000 SE:</t>
  </si>
  <si>
    <t xml:space="preserve">Undoc with income: </t>
  </si>
  <si>
    <t>Go to Ex-CFAP tab:</t>
  </si>
  <si>
    <t>Current</t>
  </si>
  <si>
    <t>Monthly Income:</t>
  </si>
  <si>
    <t>TUA:</t>
  </si>
  <si>
    <t xml:space="preserve">Child Support Paid by Court Order:  </t>
  </si>
  <si>
    <t>The missing:</t>
  </si>
  <si>
    <t>You Are:</t>
  </si>
  <si>
    <t>yrs</t>
  </si>
  <si>
    <t>days young.</t>
  </si>
  <si>
    <t>Enter your DOB</t>
  </si>
  <si>
    <t>Today:</t>
  </si>
  <si>
    <t>months and</t>
  </si>
  <si>
    <t>Type:      =1000*.6</t>
  </si>
  <si>
    <t>With actual $480 deduction:  Type:    =1000-480</t>
  </si>
  <si>
    <t>Type:     =900+1000*.6</t>
  </si>
  <si>
    <t>Undoc's (Just a reminder)</t>
  </si>
  <si>
    <t>FED HH:</t>
  </si>
  <si>
    <t>Difference:</t>
  </si>
  <si>
    <t>30% of net income:</t>
  </si>
  <si>
    <t>S T L</t>
  </si>
  <si>
    <t>Elderly/Disabled?  (If Yes, enter 1):</t>
  </si>
  <si>
    <t>Medical Deduction for Elderly/Disabled CFAP</t>
  </si>
  <si>
    <t xml:space="preserve">Medical Deduction for Elderly/Disabled </t>
  </si>
  <si>
    <t>ENTER FED AMT ISSUED:</t>
  </si>
  <si>
    <t xml:space="preserve"> CFAP and FED Eligible Amounts:</t>
  </si>
  <si>
    <t>For CFAP calculation, does Fed HH include E/D ?</t>
  </si>
  <si>
    <t>CFAP</t>
  </si>
  <si>
    <t>Enter 1 if yes&gt;</t>
  </si>
  <si>
    <t>Total Amount of CF Benefit already issued for the month:</t>
  </si>
  <si>
    <t>30% of Net income is always rounded up.</t>
  </si>
  <si>
    <t>Allotment prorated amount is always rounded down.</t>
  </si>
  <si>
    <t xml:space="preserve">For intake, pt applied on 4/7/18, for example. </t>
  </si>
  <si>
    <t>$$$ / 31 x 25 = $99.90</t>
  </si>
  <si>
    <t>Pt is only eligible for $99.</t>
  </si>
  <si>
    <t>(Less FS)</t>
  </si>
  <si>
    <t>(Fair)</t>
  </si>
  <si>
    <t>Net income: rounded fairly: up or down</t>
  </si>
  <si>
    <t>Medical Deduction:</t>
  </si>
  <si>
    <t>Pt. pays:</t>
  </si>
  <si>
    <t>$35 or less</t>
  </si>
  <si>
    <t>zero</t>
  </si>
  <si>
    <t>35.01 - 155</t>
  </si>
  <si>
    <t>155.01 &amp; up</t>
  </si>
  <si>
    <t>Exclude 35 fr actual</t>
  </si>
  <si>
    <t>amount.</t>
  </si>
  <si>
    <t>Max shelter deduction, for non-E/D:</t>
  </si>
  <si>
    <r>
      <t xml:space="preserve">Actual Shelter Expense                                                  </t>
    </r>
    <r>
      <rPr>
        <b/>
        <sz val="10"/>
        <rFont val="Arial"/>
        <family val="2"/>
      </rPr>
      <t xml:space="preserve">  For CFAP-See Line 25</t>
    </r>
  </si>
  <si>
    <t>Medical Expenses for E/D HH members:</t>
  </si>
  <si>
    <r>
      <rPr>
        <b/>
        <sz val="10"/>
        <color rgb="FFC00000"/>
        <rFont val="Arial"/>
        <family val="2"/>
      </rPr>
      <t xml:space="preserve"> </t>
    </r>
    <r>
      <rPr>
        <b/>
        <sz val="10"/>
        <rFont val="Arial"/>
        <family val="2"/>
      </rPr>
      <t xml:space="preserve">       LUA:</t>
    </r>
  </si>
  <si>
    <t>SUA:</t>
  </si>
  <si>
    <t>N/A</t>
  </si>
  <si>
    <t xml:space="preserve">Utilities </t>
  </si>
  <si>
    <t>was</t>
  </si>
  <si>
    <t>would be:</t>
  </si>
  <si>
    <t>If paid weekly:</t>
  </si>
  <si>
    <t>Cell C7:</t>
  </si>
  <si>
    <t>PA 167:</t>
  </si>
  <si>
    <t>Part A:</t>
  </si>
  <si>
    <t>Up to</t>
  </si>
  <si>
    <t>(paid by MAO)</t>
  </si>
  <si>
    <t>For Medication</t>
  </si>
  <si>
    <t>4 Hospital</t>
  </si>
  <si>
    <t>Premium</t>
  </si>
  <si>
    <t>Part B:</t>
  </si>
  <si>
    <t>Part C:</t>
  </si>
  <si>
    <t>= A + B.</t>
  </si>
  <si>
    <t>Part D:</t>
  </si>
  <si>
    <t>4 Prescription Drug.</t>
  </si>
  <si>
    <t>(auto el / QMB)</t>
  </si>
  <si>
    <t>Eff. 10/01/2017</t>
  </si>
  <si>
    <t>Allow:</t>
  </si>
  <si>
    <t>IE students who contribute.)</t>
  </si>
  <si>
    <t>(Number of all Undoc when 1 has income  +</t>
  </si>
  <si>
    <t>(QMB: State Fund)</t>
  </si>
  <si>
    <t>Medicare :</t>
  </si>
  <si>
    <t>$ SSA increase:</t>
  </si>
  <si>
    <t>HH Size</t>
  </si>
  <si>
    <t>Gross/200% Lim</t>
  </si>
  <si>
    <t>Net/100% Lim</t>
  </si>
  <si>
    <t>Max CF</t>
  </si>
  <si>
    <t>Eff. 10/20 - 09/21.</t>
  </si>
  <si>
    <t>ALAMEDA COUNTY SOCIAL SERVICES AGENCY-CALFRESH BUDGET FOR QUALITY CONTROL</t>
  </si>
  <si>
    <t>Cell I 12: The R-MG, in the formula, came from Excel.</t>
  </si>
  <si>
    <t>Net:</t>
  </si>
  <si>
    <t>Net Limit:</t>
  </si>
  <si>
    <t>Net Income:</t>
  </si>
  <si>
    <t>HH:</t>
  </si>
  <si>
    <t>HH Type: (PA=1, NA=2, MX=3)</t>
  </si>
  <si>
    <t>HH Type: per original Alameda.</t>
  </si>
  <si>
    <t xml:space="preserve">     persons excluded as ineligible students, or roomer/boarders.</t>
  </si>
  <si>
    <t>eff. 01/2021</t>
  </si>
  <si>
    <t>If 2020 was</t>
  </si>
  <si>
    <t>2021 &gt;&gt;</t>
  </si>
  <si>
    <t>Inc  -  MCE:</t>
  </si>
  <si>
    <t>Updated:</t>
  </si>
  <si>
    <t>Ala from Juan:</t>
  </si>
  <si>
    <t>email on 9/15/20.</t>
  </si>
  <si>
    <t>Prorated allotment</t>
  </si>
  <si>
    <t>Round down:</t>
  </si>
  <si>
    <t xml:space="preserve">        PVS Abtract came:</t>
  </si>
  <si>
    <t xml:space="preserve">        LRS must be updated by</t>
  </si>
  <si>
    <t>Gross Inc Limit:</t>
  </si>
  <si>
    <t>=794+160.72</t>
  </si>
  <si>
    <t>=783+160.72</t>
  </si>
  <si>
    <t>Net Monthly Income (D12-D20)</t>
  </si>
  <si>
    <t>SSI/P Standard for 1:</t>
  </si>
  <si>
    <t>(Press Enter key after typing)</t>
  </si>
  <si>
    <t>Enter Fed and CFAP income on this tab.</t>
  </si>
  <si>
    <t>Gross Income</t>
  </si>
  <si>
    <t>&gt;&gt;</t>
  </si>
  <si>
    <t>If the HH</t>
  </si>
  <si>
    <t>is MCE and Net income over limit:</t>
  </si>
  <si>
    <t>No Gross Inc Limit for E/D HH.</t>
  </si>
  <si>
    <t>E/D:    (I 9)</t>
  </si>
  <si>
    <t>If gross inc &gt; limit: MCE IE. Might be CF IE if PP&gt; limit.</t>
  </si>
  <si>
    <t>They might be  eligible   or IE.</t>
  </si>
  <si>
    <t>For HH of 1 or 2, they are el for at least: $19.00</t>
  </si>
  <si>
    <t>E.I. =</t>
  </si>
  <si>
    <t>1/21-9/21</t>
  </si>
  <si>
    <t>E/D:</t>
  </si>
  <si>
    <t>Gross Inc:</t>
  </si>
  <si>
    <t>Net Inc:</t>
  </si>
  <si>
    <t>1: Gross inc &gt; limit.</t>
  </si>
  <si>
    <t>1: Net inc &gt; limit.</t>
  </si>
  <si>
    <t>1: Yes, E/D.</t>
  </si>
  <si>
    <t>0: MCE eligible.</t>
  </si>
  <si>
    <t>D41.</t>
  </si>
  <si>
    <t>D43:</t>
  </si>
  <si>
    <t>F33:</t>
  </si>
  <si>
    <t>D37</t>
  </si>
  <si>
    <t>D38</t>
  </si>
  <si>
    <t>D39</t>
  </si>
  <si>
    <t>If 80% of E.I. =</t>
  </si>
  <si>
    <t>If net SE =</t>
  </si>
  <si>
    <t>SE=</t>
  </si>
  <si>
    <t>No MAMI Per AR 5823 dated 03/17/20.</t>
  </si>
  <si>
    <t>Fed allotment:</t>
  </si>
  <si>
    <t>30% of Net Income-R up</t>
  </si>
  <si>
    <t>Unearned Inc</t>
  </si>
  <si>
    <t>CS paid</t>
  </si>
  <si>
    <t xml:space="preserve">Unearned </t>
  </si>
  <si>
    <t>Earned</t>
  </si>
  <si>
    <t>Total Inc:</t>
  </si>
  <si>
    <t>sua…..&gt;</t>
  </si>
  <si>
    <t>Combined HH:</t>
  </si>
  <si>
    <t>Problem with Child support payments ??</t>
  </si>
  <si>
    <t>Data !</t>
  </si>
  <si>
    <t>C4 = 1.</t>
  </si>
  <si>
    <t>Total Gross Earned Income (-CS payment)</t>
  </si>
  <si>
    <t>Total Gross Unearned Income (-CS payment)</t>
  </si>
  <si>
    <t>Child support payment:</t>
  </si>
  <si>
    <t>Thrifty Food Plan / Max CF for the HH.</t>
  </si>
  <si>
    <t>FED CF Issued:</t>
  </si>
  <si>
    <t>PART 3 - BENEFITS  (K67 - K68)</t>
  </si>
  <si>
    <t>eff. 1/2022</t>
  </si>
  <si>
    <t>If 2021 was</t>
  </si>
  <si>
    <t>2022 &gt;</t>
  </si>
  <si>
    <t>(LRS do it 4 SA, but for SSI/P, ew got to do it at sar7 or RE)</t>
  </si>
  <si>
    <t>=841 + 199.21</t>
  </si>
  <si>
    <t>(Round down)</t>
  </si>
  <si>
    <t>8/18/71.</t>
  </si>
  <si>
    <t>Error Tolerance</t>
  </si>
  <si>
    <t>Eff. 10/2021</t>
  </si>
  <si>
    <t>Revised 09/2022..</t>
  </si>
  <si>
    <t>Pay Frquency:</t>
  </si>
  <si>
    <t>From:</t>
  </si>
  <si>
    <t>To:</t>
  </si>
  <si>
    <t>Days:</t>
  </si>
  <si>
    <t>Frequency:</t>
  </si>
  <si>
    <t>Just likes CFAP</t>
  </si>
  <si>
    <t>eff. 01/2023</t>
  </si>
  <si>
    <t xml:space="preserve"> If 2022</t>
  </si>
  <si>
    <t>Min CF:</t>
  </si>
  <si>
    <t>FYI</t>
  </si>
  <si>
    <t>G42</t>
  </si>
  <si>
    <t>Do not touch it.</t>
  </si>
  <si>
    <t>Computes CF Budgets for Months October 2023 to September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</si>
</sst>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5" formatCode="&quot;$&quot;#,##0_);\(&quot;$&quot;#,##0\)"/>
    <numFmt numFmtId="7" formatCode="&quot;$&quot;#,##0.00_);\(&quot;$&quot;#,##0.0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0.00000"/>
    <numFmt numFmtId="165" formatCode="&quot;$&quot;#,##0"/>
    <numFmt numFmtId="166" formatCode="&quot;$&quot;#,##0.00"/>
    <numFmt numFmtId="167" formatCode="mm/dd/yy"/>
    <numFmt numFmtId="168" formatCode="m/d/yy;@"/>
    <numFmt numFmtId="169" formatCode=";;;"/>
  </numFmts>
  <fonts count="41">
    <font>
      <sz val="10"/>
      <name val="Arial"/>
    </font>
    <font>
      <b/>
      <sz val="10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10"/>
      <name val="Arial"/>
      <family val="2"/>
    </font>
    <font>
      <i/>
      <u/>
      <sz val="10"/>
      <name val="Arial"/>
      <family val="2"/>
    </font>
    <font>
      <sz val="10"/>
      <name val="Times New Roman"/>
      <family val="1"/>
    </font>
    <font>
      <i/>
      <sz val="10"/>
      <name val="Arial"/>
      <family val="2"/>
    </font>
    <font>
      <b/>
      <u/>
      <sz val="10"/>
      <name val="Arial"/>
      <family val="2"/>
    </font>
    <font>
      <sz val="10"/>
      <name val="@Arial Unicode MS"/>
      <family val="2"/>
    </font>
    <font>
      <u/>
      <sz val="10"/>
      <name val="Arial"/>
      <family val="2"/>
    </font>
    <font>
      <b/>
      <sz val="10"/>
      <name val="@Arial Unicode MS"/>
      <family val="2"/>
    </font>
    <font>
      <sz val="10"/>
      <color indexed="10"/>
      <name val="Arial"/>
      <family val="2"/>
    </font>
    <font>
      <sz val="8"/>
      <color indexed="81"/>
      <name val="Tahoma"/>
      <family val="2"/>
    </font>
    <font>
      <b/>
      <sz val="10"/>
      <color rgb="FF000000"/>
      <name val="Times New Roman"/>
      <family val="1"/>
    </font>
    <font>
      <sz val="10"/>
      <color rgb="FF000000"/>
      <name val="Arial"/>
      <family val="2"/>
    </font>
    <font>
      <sz val="10"/>
      <color rgb="FFFF0000"/>
      <name val="Arial"/>
      <family val="2"/>
    </font>
    <font>
      <b/>
      <sz val="14"/>
      <name val="Arial"/>
      <family val="2"/>
    </font>
    <font>
      <sz val="10"/>
      <color theme="0"/>
      <name val="Arial"/>
      <family val="2"/>
    </font>
    <font>
      <sz val="10"/>
      <color theme="0" tint="-0.14999847407452621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b/>
      <sz val="12"/>
      <name val="Arial"/>
      <family val="2"/>
    </font>
    <font>
      <b/>
      <sz val="12"/>
      <color rgb="FFC00000"/>
      <name val="Arial"/>
      <family val="2"/>
    </font>
    <font>
      <sz val="10"/>
      <color rgb="FFC00000"/>
      <name val="Arial"/>
      <family val="2"/>
    </font>
    <font>
      <b/>
      <sz val="10"/>
      <color rgb="FFC00000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8"/>
      <name val="Arial"/>
      <family val="2"/>
    </font>
    <font>
      <sz val="9"/>
      <color rgb="FF0070C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Castellar"/>
      <family val="1"/>
    </font>
    <font>
      <sz val="9"/>
      <color rgb="FFFF0000"/>
      <name val="Arial"/>
      <family val="2"/>
    </font>
    <font>
      <sz val="10"/>
      <color rgb="FF00B050"/>
      <name val="Arial"/>
      <family val="2"/>
    </font>
    <font>
      <b/>
      <sz val="10"/>
      <color rgb="FF00B050"/>
      <name val="Arial"/>
      <family val="2"/>
    </font>
    <font>
      <sz val="12"/>
      <color rgb="FFFF0000"/>
      <name val="Arial"/>
      <family val="2"/>
    </font>
    <font>
      <b/>
      <u/>
      <sz val="10"/>
      <color rgb="FFFF0000"/>
      <name val="Arial"/>
      <family val="2"/>
    </font>
    <font>
      <b/>
      <sz val="12"/>
      <color rgb="FFFF0000"/>
      <name val="Arial"/>
      <family val="2"/>
    </font>
    <font>
      <i/>
      <sz val="12"/>
      <name val="Arial"/>
      <family val="2"/>
    </font>
    <font>
      <sz val="12"/>
      <color rgb="FF00610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  <fill>
      <patternFill patternType="solid">
        <fgColor indexed="9"/>
        <bgColor indexed="64"/>
      </patternFill>
    </fill>
    <fill>
      <patternFill patternType="gray125">
        <bgColor indexed="9"/>
      </patternFill>
    </fill>
    <fill>
      <patternFill patternType="solid">
        <fgColor indexed="44"/>
        <bgColor indexed="64"/>
      </patternFill>
    </fill>
    <fill>
      <patternFill patternType="gray125">
        <bgColor indexed="4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26"/>
        <bgColor indexed="9"/>
      </patternFill>
    </fill>
    <fill>
      <patternFill patternType="solid">
        <fgColor indexed="42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lightGray"/>
    </fill>
    <fill>
      <patternFill patternType="lightGray">
        <bgColor indexed="26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6EFCE"/>
      </patternFill>
    </fill>
  </fills>
  <borders count="1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medium">
        <color indexed="64"/>
      </bottom>
      <diagonal/>
    </border>
    <border>
      <left/>
      <right style="double">
        <color indexed="64"/>
      </right>
      <top style="double">
        <color indexed="64"/>
      </top>
      <bottom style="dashed">
        <color indexed="64"/>
      </bottom>
      <diagonal/>
    </border>
    <border>
      <left style="double">
        <color indexed="64"/>
      </left>
      <right style="double">
        <color indexed="64"/>
      </right>
      <top style="dashed">
        <color indexed="64"/>
      </top>
      <bottom style="dashed">
        <color indexed="64"/>
      </bottom>
      <diagonal/>
    </border>
    <border>
      <left/>
      <right style="double">
        <color indexed="64"/>
      </right>
      <top style="dashed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ashed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ashed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theme="1" tint="4.9989318521683403E-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theme="1" tint="4.9989318521683403E-2"/>
      </bottom>
      <diagonal/>
    </border>
    <border>
      <left style="medium">
        <color indexed="64"/>
      </left>
      <right style="thin">
        <color indexed="64"/>
      </right>
      <top style="thin">
        <color theme="1" tint="4.9989318521683403E-2"/>
      </top>
      <bottom style="thin">
        <color theme="1" tint="4.9989318521683403E-2"/>
      </bottom>
      <diagonal/>
    </border>
    <border>
      <left style="thin">
        <color indexed="64"/>
      </left>
      <right style="medium">
        <color indexed="64"/>
      </right>
      <top style="thin">
        <color theme="1" tint="4.9989318521683403E-2"/>
      </top>
      <bottom style="thin">
        <color theme="1" tint="4.9989318521683403E-2"/>
      </bottom>
      <diagonal/>
    </border>
    <border>
      <left style="medium">
        <color indexed="64"/>
      </left>
      <right style="thin">
        <color indexed="64"/>
      </right>
      <top style="thin">
        <color theme="1" tint="4.9989318521683403E-2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theme="1" tint="4.9989318521683403E-2"/>
      </top>
      <bottom style="medium">
        <color indexed="64"/>
      </bottom>
      <diagonal/>
    </border>
  </borders>
  <cellStyleXfs count="3">
    <xf numFmtId="0" fontId="0" fillId="0" borderId="0"/>
    <xf numFmtId="44" fontId="20" fillId="0" borderId="0" applyFont="0" applyFill="0" applyBorder="0" applyAlignment="0" applyProtection="0"/>
    <xf numFmtId="0" fontId="40" fillId="20" borderId="0" applyNumberFormat="0" applyBorder="0" applyAlignment="0" applyProtection="0"/>
  </cellStyleXfs>
  <cellXfs count="725">
    <xf numFmtId="0" fontId="0" fillId="0" borderId="0" xfId="0"/>
    <xf numFmtId="0" fontId="0" fillId="0" borderId="0" xfId="0" quotePrefix="1" applyAlignment="1">
      <alignment horizontal="left"/>
    </xf>
    <xf numFmtId="5" fontId="0" fillId="0" borderId="0" xfId="0" applyNumberFormat="1"/>
    <xf numFmtId="0" fontId="0" fillId="1" borderId="0" xfId="0" applyFill="1"/>
    <xf numFmtId="17" fontId="0" fillId="1" borderId="0" xfId="0" applyNumberFormat="1" applyFill="1"/>
    <xf numFmtId="1" fontId="0" fillId="1" borderId="0" xfId="0" applyNumberFormat="1" applyFill="1"/>
    <xf numFmtId="0" fontId="0" fillId="1" borderId="0" xfId="0" quotePrefix="1" applyFill="1" applyAlignment="1">
      <alignment horizontal="left"/>
    </xf>
    <xf numFmtId="0" fontId="0" fillId="1" borderId="0" xfId="0" applyFill="1" applyAlignment="1">
      <alignment horizontal="left"/>
    </xf>
    <xf numFmtId="0" fontId="0" fillId="0" borderId="1" xfId="0" applyBorder="1"/>
    <xf numFmtId="0" fontId="0" fillId="0" borderId="1" xfId="0" quotePrefix="1" applyBorder="1" applyAlignment="1">
      <alignment horizontal="left"/>
    </xf>
    <xf numFmtId="0" fontId="0" fillId="0" borderId="1" xfId="0" applyBorder="1" applyAlignment="1">
      <alignment horizontal="left"/>
    </xf>
    <xf numFmtId="5" fontId="0" fillId="1" borderId="0" xfId="0" applyNumberFormat="1" applyFill="1"/>
    <xf numFmtId="0" fontId="0" fillId="2" borderId="1" xfId="0" applyFill="1" applyBorder="1"/>
    <xf numFmtId="5" fontId="0" fillId="2" borderId="1" xfId="0" applyNumberFormat="1" applyFill="1" applyBorder="1"/>
    <xf numFmtId="5" fontId="0" fillId="0" borderId="1" xfId="0" applyNumberFormat="1" applyBorder="1"/>
    <xf numFmtId="0" fontId="0" fillId="2" borderId="0" xfId="0" applyFill="1"/>
    <xf numFmtId="0" fontId="1" fillId="1" borderId="0" xfId="0" quotePrefix="1" applyFont="1" applyFill="1" applyAlignment="1">
      <alignment horizontal="centerContinuous"/>
    </xf>
    <xf numFmtId="5" fontId="1" fillId="1" borderId="0" xfId="0" applyNumberFormat="1" applyFont="1" applyFill="1" applyAlignment="1">
      <alignment horizontal="centerContinuous"/>
    </xf>
    <xf numFmtId="9" fontId="0" fillId="1" borderId="0" xfId="0" applyNumberFormat="1" applyFill="1"/>
    <xf numFmtId="5" fontId="0" fillId="1" borderId="0" xfId="0" quotePrefix="1" applyNumberFormat="1" applyFill="1"/>
    <xf numFmtId="0" fontId="1" fillId="0" borderId="3" xfId="0" applyFont="1" applyBorder="1" applyAlignment="1">
      <alignment horizontal="centerContinuous"/>
    </xf>
    <xf numFmtId="0" fontId="1" fillId="0" borderId="2" xfId="0" applyFont="1" applyBorder="1" applyAlignment="1">
      <alignment horizontal="centerContinuous"/>
    </xf>
    <xf numFmtId="0" fontId="0" fillId="0" borderId="4" xfId="0" applyBorder="1"/>
    <xf numFmtId="17" fontId="0" fillId="2" borderId="6" xfId="0" applyNumberFormat="1" applyFill="1" applyBorder="1" applyAlignment="1">
      <alignment horizontal="center"/>
    </xf>
    <xf numFmtId="0" fontId="0" fillId="3" borderId="0" xfId="0" applyFill="1"/>
    <xf numFmtId="0" fontId="0" fillId="3" borderId="2" xfId="0" applyFill="1" applyBorder="1"/>
    <xf numFmtId="0" fontId="0" fillId="3" borderId="7" xfId="0" applyFill="1" applyBorder="1"/>
    <xf numFmtId="0" fontId="0" fillId="3" borderId="4" xfId="0" applyFill="1" applyBorder="1"/>
    <xf numFmtId="0" fontId="1" fillId="2" borderId="8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0" fillId="4" borderId="0" xfId="0" applyFill="1"/>
    <xf numFmtId="0" fontId="0" fillId="3" borderId="10" xfId="0" applyFill="1" applyBorder="1" applyAlignment="1">
      <alignment horizontal="centerContinuous"/>
    </xf>
    <xf numFmtId="0" fontId="0" fillId="3" borderId="3" xfId="0" applyFill="1" applyBorder="1" applyAlignment="1">
      <alignment horizontal="centerContinuous"/>
    </xf>
    <xf numFmtId="0" fontId="0" fillId="3" borderId="11" xfId="0" applyFill="1" applyBorder="1" applyAlignment="1">
      <alignment horizontal="center"/>
    </xf>
    <xf numFmtId="7" fontId="0" fillId="4" borderId="0" xfId="0" applyNumberFormat="1" applyFill="1" applyProtection="1">
      <protection locked="0"/>
    </xf>
    <xf numFmtId="0" fontId="0" fillId="3" borderId="2" xfId="0" applyFill="1" applyBorder="1" applyAlignment="1">
      <alignment horizontal="left"/>
    </xf>
    <xf numFmtId="0" fontId="1" fillId="3" borderId="14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center"/>
    </xf>
    <xf numFmtId="0" fontId="0" fillId="5" borderId="0" xfId="0" applyFill="1"/>
    <xf numFmtId="0" fontId="0" fillId="1" borderId="0" xfId="0" applyFill="1" applyAlignment="1">
      <alignment horizontal="center"/>
    </xf>
    <xf numFmtId="0" fontId="0" fillId="3" borderId="1" xfId="0" applyFill="1" applyBorder="1"/>
    <xf numFmtId="0" fontId="0" fillId="3" borderId="16" xfId="0" applyFill="1" applyBorder="1"/>
    <xf numFmtId="0" fontId="0" fillId="5" borderId="18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19" xfId="0" applyFill="1" applyBorder="1" applyAlignment="1">
      <alignment horizontal="centerContinuous"/>
    </xf>
    <xf numFmtId="0" fontId="0" fillId="5" borderId="13" xfId="0" applyFill="1" applyBorder="1" applyAlignment="1">
      <alignment horizontal="centerContinuous"/>
    </xf>
    <xf numFmtId="0" fontId="0" fillId="6" borderId="20" xfId="0" applyFill="1" applyBorder="1"/>
    <xf numFmtId="0" fontId="0" fillId="6" borderId="16" xfId="0" applyFill="1" applyBorder="1"/>
    <xf numFmtId="0" fontId="0" fillId="0" borderId="7" xfId="0" applyBorder="1" applyAlignment="1">
      <alignment horizontal="centerContinuous"/>
    </xf>
    <xf numFmtId="0" fontId="0" fillId="0" borderId="16" xfId="0" applyBorder="1"/>
    <xf numFmtId="0" fontId="0" fillId="3" borderId="2" xfId="0" applyFill="1" applyBorder="1" applyAlignment="1">
      <alignment horizontal="centerContinuous"/>
    </xf>
    <xf numFmtId="0" fontId="0" fillId="3" borderId="7" xfId="0" applyFill="1" applyBorder="1" applyAlignment="1">
      <alignment horizontal="centerContinuous"/>
    </xf>
    <xf numFmtId="0" fontId="0" fillId="3" borderId="21" xfId="0" applyFill="1" applyBorder="1"/>
    <xf numFmtId="0" fontId="0" fillId="3" borderId="3" xfId="0" applyFill="1" applyBorder="1"/>
    <xf numFmtId="0" fontId="0" fillId="3" borderId="11" xfId="0" applyFill="1" applyBorder="1"/>
    <xf numFmtId="0" fontId="0" fillId="3" borderId="8" xfId="0" applyFill="1" applyBorder="1"/>
    <xf numFmtId="0" fontId="0" fillId="3" borderId="22" xfId="0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3" borderId="12" xfId="0" applyFill="1" applyBorder="1"/>
    <xf numFmtId="0" fontId="0" fillId="3" borderId="27" xfId="0" applyFill="1" applyBorder="1"/>
    <xf numFmtId="0" fontId="0" fillId="3" borderId="9" xfId="0" applyFill="1" applyBorder="1"/>
    <xf numFmtId="0" fontId="0" fillId="3" borderId="28" xfId="0" applyFill="1" applyBorder="1"/>
    <xf numFmtId="0" fontId="0" fillId="0" borderId="2" xfId="0" quotePrefix="1" applyBorder="1" applyAlignment="1">
      <alignment horizontal="left"/>
    </xf>
    <xf numFmtId="0" fontId="0" fillId="0" borderId="2" xfId="0" applyBorder="1"/>
    <xf numFmtId="0" fontId="0" fillId="0" borderId="2" xfId="0" applyBorder="1" applyAlignment="1">
      <alignment horizontal="left"/>
    </xf>
    <xf numFmtId="0" fontId="1" fillId="5" borderId="29" xfId="0" applyFont="1" applyFill="1" applyBorder="1"/>
    <xf numFmtId="0" fontId="1" fillId="5" borderId="30" xfId="0" applyFont="1" applyFill="1" applyBorder="1"/>
    <xf numFmtId="5" fontId="0" fillId="5" borderId="31" xfId="0" applyNumberFormat="1" applyFill="1" applyBorder="1" applyAlignment="1">
      <alignment horizontal="centerContinuous"/>
    </xf>
    <xf numFmtId="5" fontId="0" fillId="5" borderId="32" xfId="0" applyNumberFormat="1" applyFill="1" applyBorder="1" applyAlignment="1">
      <alignment horizontal="centerContinuous"/>
    </xf>
    <xf numFmtId="0" fontId="0" fillId="5" borderId="32" xfId="0" applyFill="1" applyBorder="1" applyAlignment="1">
      <alignment horizontal="centerContinuous"/>
    </xf>
    <xf numFmtId="0" fontId="0" fillId="6" borderId="33" xfId="0" applyFill="1" applyBorder="1"/>
    <xf numFmtId="0" fontId="0" fillId="6" borderId="34" xfId="0" applyFill="1" applyBorder="1"/>
    <xf numFmtId="0" fontId="0" fillId="4" borderId="35" xfId="0" applyFill="1" applyBorder="1" applyAlignment="1" applyProtection="1">
      <alignment horizontal="center"/>
      <protection locked="0"/>
    </xf>
    <xf numFmtId="0" fontId="0" fillId="1" borderId="34" xfId="0" applyFill="1" applyBorder="1"/>
    <xf numFmtId="0" fontId="0" fillId="3" borderId="36" xfId="0" applyFill="1" applyBorder="1"/>
    <xf numFmtId="0" fontId="0" fillId="4" borderId="28" xfId="0" applyFill="1" applyBorder="1"/>
    <xf numFmtId="7" fontId="0" fillId="4" borderId="28" xfId="0" applyNumberFormat="1" applyFill="1" applyBorder="1"/>
    <xf numFmtId="7" fontId="0" fillId="4" borderId="37" xfId="0" applyNumberFormat="1" applyFill="1" applyBorder="1"/>
    <xf numFmtId="0" fontId="6" fillId="3" borderId="4" xfId="0" applyFont="1" applyFill="1" applyBorder="1" applyAlignment="1">
      <alignment horizontal="centerContinuous"/>
    </xf>
    <xf numFmtId="0" fontId="6" fillId="3" borderId="21" xfId="0" applyFont="1" applyFill="1" applyBorder="1" applyAlignment="1">
      <alignment horizontal="centerContinuous"/>
    </xf>
    <xf numFmtId="0" fontId="4" fillId="3" borderId="11" xfId="0" applyFont="1" applyFill="1" applyBorder="1" applyAlignment="1">
      <alignment horizontal="centerContinuous"/>
    </xf>
    <xf numFmtId="0" fontId="4" fillId="3" borderId="16" xfId="0" applyFont="1" applyFill="1" applyBorder="1" applyAlignment="1">
      <alignment horizontal="centerContinuous"/>
    </xf>
    <xf numFmtId="0" fontId="1" fillId="0" borderId="7" xfId="0" applyFont="1" applyBorder="1" applyAlignment="1">
      <alignment horizontal="centerContinuous"/>
    </xf>
    <xf numFmtId="7" fontId="0" fillId="4" borderId="0" xfId="0" applyNumberFormat="1" applyFill="1"/>
    <xf numFmtId="4" fontId="0" fillId="4" borderId="9" xfId="0" applyNumberFormat="1" applyFill="1" applyBorder="1"/>
    <xf numFmtId="4" fontId="0" fillId="4" borderId="4" xfId="0" applyNumberFormat="1" applyFill="1" applyBorder="1"/>
    <xf numFmtId="4" fontId="0" fillId="0" borderId="9" xfId="0" applyNumberFormat="1" applyBorder="1"/>
    <xf numFmtId="4" fontId="0" fillId="0" borderId="4" xfId="0" applyNumberFormat="1" applyBorder="1"/>
    <xf numFmtId="166" fontId="0" fillId="6" borderId="33" xfId="0" applyNumberFormat="1" applyFill="1" applyBorder="1"/>
    <xf numFmtId="166" fontId="0" fillId="6" borderId="38" xfId="0" applyNumberFormat="1" applyFill="1" applyBorder="1"/>
    <xf numFmtId="166" fontId="0" fillId="6" borderId="40" xfId="0" applyNumberFormat="1" applyFill="1" applyBorder="1" applyProtection="1">
      <protection locked="0"/>
    </xf>
    <xf numFmtId="166" fontId="0" fillId="6" borderId="41" xfId="0" applyNumberFormat="1" applyFill="1" applyBorder="1" applyProtection="1">
      <protection locked="0"/>
    </xf>
    <xf numFmtId="166" fontId="0" fillId="4" borderId="14" xfId="0" applyNumberFormat="1" applyFill="1" applyBorder="1"/>
    <xf numFmtId="166" fontId="0" fillId="6" borderId="18" xfId="0" applyNumberFormat="1" applyFill="1" applyBorder="1"/>
    <xf numFmtId="166" fontId="0" fillId="6" borderId="42" xfId="0" applyNumberFormat="1" applyFill="1" applyBorder="1"/>
    <xf numFmtId="166" fontId="0" fillId="6" borderId="34" xfId="0" applyNumberFormat="1" applyFill="1" applyBorder="1"/>
    <xf numFmtId="166" fontId="0" fillId="6" borderId="35" xfId="0" applyNumberFormat="1" applyFill="1" applyBorder="1"/>
    <xf numFmtId="166" fontId="0" fillId="6" borderId="40" xfId="0" applyNumberFormat="1" applyFill="1" applyBorder="1"/>
    <xf numFmtId="166" fontId="0" fillId="6" borderId="10" xfId="0" applyNumberFormat="1" applyFill="1" applyBorder="1"/>
    <xf numFmtId="166" fontId="0" fillId="6" borderId="1" xfId="0" applyNumberFormat="1" applyFill="1" applyBorder="1"/>
    <xf numFmtId="166" fontId="0" fillId="4" borderId="15" xfId="0" applyNumberFormat="1" applyFill="1" applyBorder="1"/>
    <xf numFmtId="166" fontId="0" fillId="6" borderId="16" xfId="0" applyNumberFormat="1" applyFill="1" applyBorder="1"/>
    <xf numFmtId="166" fontId="0" fillId="6" borderId="20" xfId="0" applyNumberFormat="1" applyFill="1" applyBorder="1"/>
    <xf numFmtId="166" fontId="0" fillId="6" borderId="26" xfId="0" applyNumberFormat="1" applyFill="1" applyBorder="1"/>
    <xf numFmtId="166" fontId="0" fillId="4" borderId="44" xfId="0" applyNumberFormat="1" applyFill="1" applyBorder="1"/>
    <xf numFmtId="1" fontId="0" fillId="3" borderId="11" xfId="0" applyNumberFormat="1" applyFill="1" applyBorder="1" applyAlignment="1" applyProtection="1">
      <alignment horizontal="center"/>
      <protection hidden="1"/>
    </xf>
    <xf numFmtId="1" fontId="0" fillId="3" borderId="8" xfId="0" applyNumberFormat="1" applyFill="1" applyBorder="1" applyAlignment="1" applyProtection="1">
      <alignment horizontal="center"/>
      <protection hidden="1"/>
    </xf>
    <xf numFmtId="7" fontId="7" fillId="3" borderId="49" xfId="0" applyNumberFormat="1" applyFont="1" applyFill="1" applyBorder="1" applyProtection="1">
      <protection hidden="1"/>
    </xf>
    <xf numFmtId="7" fontId="0" fillId="3" borderId="50" xfId="0" applyNumberFormat="1" applyFill="1" applyBorder="1" applyProtection="1">
      <protection hidden="1"/>
    </xf>
    <xf numFmtId="166" fontId="0" fillId="3" borderId="9" xfId="0" applyNumberFormat="1" applyFill="1" applyBorder="1" applyProtection="1">
      <protection hidden="1"/>
    </xf>
    <xf numFmtId="166" fontId="0" fillId="3" borderId="3" xfId="0" applyNumberFormat="1" applyFill="1" applyBorder="1" applyProtection="1">
      <protection hidden="1"/>
    </xf>
    <xf numFmtId="166" fontId="0" fillId="3" borderId="1" xfId="0" applyNumberFormat="1" applyFill="1" applyBorder="1" applyProtection="1">
      <protection hidden="1"/>
    </xf>
    <xf numFmtId="4" fontId="0" fillId="3" borderId="54" xfId="0" applyNumberFormat="1" applyFill="1" applyBorder="1" applyProtection="1">
      <protection hidden="1"/>
    </xf>
    <xf numFmtId="1" fontId="0" fillId="0" borderId="1" xfId="0" applyNumberFormat="1" applyBorder="1" applyProtection="1">
      <protection hidden="1"/>
    </xf>
    <xf numFmtId="0" fontId="0" fillId="1" borderId="1" xfId="0" applyFill="1" applyBorder="1" applyProtection="1">
      <protection hidden="1"/>
    </xf>
    <xf numFmtId="7" fontId="0" fillId="0" borderId="1" xfId="0" applyNumberFormat="1" applyBorder="1" applyProtection="1">
      <protection hidden="1"/>
    </xf>
    <xf numFmtId="0" fontId="0" fillId="3" borderId="2" xfId="0" quotePrefix="1" applyFill="1" applyBorder="1" applyAlignment="1" applyProtection="1">
      <alignment horizontal="left"/>
      <protection hidden="1"/>
    </xf>
    <xf numFmtId="5" fontId="0" fillId="3" borderId="7" xfId="0" applyNumberFormat="1" applyFill="1" applyBorder="1" applyProtection="1">
      <protection hidden="1"/>
    </xf>
    <xf numFmtId="7" fontId="0" fillId="3" borderId="1" xfId="0" applyNumberFormat="1" applyFill="1" applyBorder="1" applyProtection="1">
      <protection hidden="1"/>
    </xf>
    <xf numFmtId="0" fontId="0" fillId="1" borderId="0" xfId="0" applyFill="1" applyProtection="1">
      <protection hidden="1"/>
    </xf>
    <xf numFmtId="0" fontId="0" fillId="3" borderId="2" xfId="0" applyFill="1" applyBorder="1" applyProtection="1">
      <protection hidden="1"/>
    </xf>
    <xf numFmtId="0" fontId="1" fillId="0" borderId="1" xfId="0" quotePrefix="1" applyFont="1" applyBorder="1" applyAlignment="1" applyProtection="1">
      <alignment horizontal="left"/>
      <protection hidden="1"/>
    </xf>
    <xf numFmtId="4" fontId="1" fillId="0" borderId="1" xfId="0" applyNumberFormat="1" applyFont="1" applyBorder="1" applyProtection="1">
      <protection hidden="1"/>
    </xf>
    <xf numFmtId="0" fontId="1" fillId="3" borderId="26" xfId="0" quotePrefix="1" applyFont="1" applyFill="1" applyBorder="1" applyAlignment="1" applyProtection="1">
      <alignment horizontal="left"/>
      <protection hidden="1"/>
    </xf>
    <xf numFmtId="5" fontId="0" fillId="3" borderId="55" xfId="0" applyNumberFormat="1" applyFill="1" applyBorder="1" applyProtection="1">
      <protection hidden="1"/>
    </xf>
    <xf numFmtId="0" fontId="0" fillId="0" borderId="1" xfId="0" quotePrefix="1" applyBorder="1" applyAlignment="1" applyProtection="1">
      <alignment horizontal="left"/>
      <protection hidden="1"/>
    </xf>
    <xf numFmtId="4" fontId="0" fillId="0" borderId="1" xfId="0" applyNumberFormat="1" applyBorder="1" applyAlignment="1" applyProtection="1">
      <alignment horizontal="right"/>
      <protection hidden="1"/>
    </xf>
    <xf numFmtId="0" fontId="0" fillId="3" borderId="7" xfId="0" applyFill="1" applyBorder="1" applyProtection="1">
      <protection hidden="1"/>
    </xf>
    <xf numFmtId="0" fontId="0" fillId="0" borderId="2" xfId="0" applyBorder="1" applyAlignment="1" applyProtection="1">
      <alignment horizontal="centerContinuous"/>
      <protection hidden="1"/>
    </xf>
    <xf numFmtId="0" fontId="0" fillId="0" borderId="3" xfId="0" applyBorder="1" applyAlignment="1" applyProtection="1">
      <alignment horizontal="centerContinuous"/>
      <protection hidden="1"/>
    </xf>
    <xf numFmtId="0" fontId="0" fillId="0" borderId="1" xfId="0" applyBorder="1" applyProtection="1">
      <protection hidden="1"/>
    </xf>
    <xf numFmtId="4" fontId="0" fillId="0" borderId="1" xfId="0" applyNumberFormat="1" applyBorder="1" applyProtection="1">
      <protection hidden="1"/>
    </xf>
    <xf numFmtId="0" fontId="0" fillId="3" borderId="2" xfId="0" applyFill="1" applyBorder="1" applyAlignment="1" applyProtection="1">
      <alignment horizontal="left"/>
      <protection hidden="1"/>
    </xf>
    <xf numFmtId="166" fontId="0" fillId="0" borderId="1" xfId="0" applyNumberFormat="1" applyBorder="1" applyProtection="1">
      <protection hidden="1"/>
    </xf>
    <xf numFmtId="0" fontId="0" fillId="0" borderId="8" xfId="0" applyBorder="1" applyProtection="1">
      <protection hidden="1"/>
    </xf>
    <xf numFmtId="0" fontId="0" fillId="2" borderId="1" xfId="0" applyFill="1" applyBorder="1" applyProtection="1">
      <protection hidden="1"/>
    </xf>
    <xf numFmtId="164" fontId="0" fillId="2" borderId="1" xfId="0" applyNumberFormat="1" applyFill="1" applyBorder="1" applyProtection="1">
      <protection hidden="1"/>
    </xf>
    <xf numFmtId="0" fontId="0" fillId="2" borderId="1" xfId="0" applyFill="1" applyBorder="1" applyAlignment="1" applyProtection="1">
      <alignment horizontal="left"/>
      <protection hidden="1"/>
    </xf>
    <xf numFmtId="4" fontId="0" fillId="2" borderId="1" xfId="0" applyNumberFormat="1" applyFill="1" applyBorder="1" applyProtection="1">
      <protection hidden="1"/>
    </xf>
    <xf numFmtId="0" fontId="4" fillId="0" borderId="2" xfId="0" quotePrefix="1" applyFont="1" applyBorder="1" applyAlignment="1" applyProtection="1">
      <alignment horizontal="center"/>
      <protection hidden="1"/>
    </xf>
    <xf numFmtId="0" fontId="4" fillId="0" borderId="58" xfId="0" quotePrefix="1" applyFont="1" applyBorder="1" applyAlignment="1" applyProtection="1">
      <alignment horizontal="center"/>
      <protection hidden="1"/>
    </xf>
    <xf numFmtId="166" fontId="0" fillId="1" borderId="7" xfId="0" applyNumberFormat="1" applyFill="1" applyBorder="1" applyProtection="1">
      <protection hidden="1"/>
    </xf>
    <xf numFmtId="9" fontId="0" fillId="3" borderId="58" xfId="0" applyNumberFormat="1" applyFill="1" applyBorder="1" applyProtection="1">
      <protection hidden="1"/>
    </xf>
    <xf numFmtId="166" fontId="0" fillId="0" borderId="3" xfId="0" applyNumberFormat="1" applyBorder="1" applyProtection="1">
      <protection hidden="1"/>
    </xf>
    <xf numFmtId="0" fontId="0" fillId="1" borderId="0" xfId="0" quotePrefix="1" applyFill="1" applyAlignment="1" applyProtection="1">
      <alignment horizontal="left"/>
      <protection hidden="1"/>
    </xf>
    <xf numFmtId="0" fontId="1" fillId="2" borderId="2" xfId="0" applyFont="1" applyFill="1" applyBorder="1" applyAlignment="1" applyProtection="1">
      <alignment horizontal="centerContinuous"/>
      <protection hidden="1"/>
    </xf>
    <xf numFmtId="0" fontId="1" fillId="2" borderId="3" xfId="0" applyFont="1" applyFill="1" applyBorder="1" applyAlignment="1" applyProtection="1">
      <alignment horizontal="centerContinuous"/>
      <protection hidden="1"/>
    </xf>
    <xf numFmtId="0" fontId="1" fillId="0" borderId="2" xfId="0" applyFont="1" applyBorder="1" applyAlignment="1" applyProtection="1">
      <alignment horizontal="centerContinuous"/>
      <protection hidden="1"/>
    </xf>
    <xf numFmtId="0" fontId="1" fillId="0" borderId="3" xfId="0" applyFont="1" applyBorder="1" applyAlignment="1" applyProtection="1">
      <alignment horizontal="centerContinuous"/>
      <protection hidden="1"/>
    </xf>
    <xf numFmtId="166" fontId="0" fillId="0" borderId="1" xfId="0" quotePrefix="1" applyNumberFormat="1" applyBorder="1" applyProtection="1">
      <protection hidden="1"/>
    </xf>
    <xf numFmtId="166" fontId="0" fillId="2" borderId="1" xfId="0" applyNumberFormat="1" applyFill="1" applyBorder="1" applyProtection="1">
      <protection hidden="1"/>
    </xf>
    <xf numFmtId="0" fontId="0" fillId="0" borderId="59" xfId="0" applyBorder="1" applyProtection="1">
      <protection hidden="1"/>
    </xf>
    <xf numFmtId="0" fontId="0" fillId="0" borderId="61" xfId="0" applyBorder="1" applyAlignment="1" applyProtection="1">
      <alignment horizontal="centerContinuous"/>
      <protection hidden="1"/>
    </xf>
    <xf numFmtId="0" fontId="0" fillId="3" borderId="10" xfId="0" quotePrefix="1" applyFill="1" applyBorder="1" applyAlignment="1" applyProtection="1">
      <alignment horizontal="left"/>
      <protection hidden="1"/>
    </xf>
    <xf numFmtId="4" fontId="0" fillId="0" borderId="43" xfId="0" applyNumberFormat="1" applyBorder="1" applyProtection="1">
      <protection hidden="1"/>
    </xf>
    <xf numFmtId="0" fontId="0" fillId="3" borderId="10" xfId="0" applyFill="1" applyBorder="1" applyProtection="1">
      <protection hidden="1"/>
    </xf>
    <xf numFmtId="4" fontId="0" fillId="3" borderId="1" xfId="0" applyNumberFormat="1" applyFill="1" applyBorder="1" applyProtection="1">
      <protection hidden="1"/>
    </xf>
    <xf numFmtId="0" fontId="1" fillId="3" borderId="18" xfId="0" quotePrefix="1" applyFont="1" applyFill="1" applyBorder="1" applyAlignment="1" applyProtection="1">
      <alignment horizontal="left"/>
      <protection hidden="1"/>
    </xf>
    <xf numFmtId="0" fontId="1" fillId="0" borderId="53" xfId="0" quotePrefix="1" applyFont="1" applyBorder="1" applyAlignment="1" applyProtection="1">
      <alignment horizontal="left"/>
      <protection hidden="1"/>
    </xf>
    <xf numFmtId="4" fontId="1" fillId="0" borderId="43" xfId="0" applyNumberFormat="1" applyFont="1" applyBorder="1" applyProtection="1">
      <protection hidden="1"/>
    </xf>
    <xf numFmtId="0" fontId="0" fillId="0" borderId="53" xfId="0" quotePrefix="1" applyBorder="1" applyAlignment="1" applyProtection="1">
      <alignment horizontal="left"/>
      <protection hidden="1"/>
    </xf>
    <xf numFmtId="0" fontId="1" fillId="0" borderId="46" xfId="0" applyFont="1" applyBorder="1" applyAlignment="1" applyProtection="1">
      <alignment horizontal="center"/>
      <protection hidden="1"/>
    </xf>
    <xf numFmtId="0" fontId="0" fillId="0" borderId="53" xfId="0" applyBorder="1" applyProtection="1">
      <protection hidden="1"/>
    </xf>
    <xf numFmtId="0" fontId="0" fillId="0" borderId="62" xfId="0" applyBorder="1" applyProtection="1">
      <protection hidden="1"/>
    </xf>
    <xf numFmtId="0" fontId="0" fillId="2" borderId="43" xfId="0" applyFill="1" applyBorder="1" applyProtection="1">
      <protection hidden="1"/>
    </xf>
    <xf numFmtId="0" fontId="0" fillId="2" borderId="53" xfId="0" applyFill="1" applyBorder="1" applyProtection="1">
      <protection hidden="1"/>
    </xf>
    <xf numFmtId="164" fontId="0" fillId="2" borderId="43" xfId="0" applyNumberFormat="1" applyFill="1" applyBorder="1" applyProtection="1">
      <protection hidden="1"/>
    </xf>
    <xf numFmtId="0" fontId="0" fillId="2" borderId="63" xfId="0" quotePrefix="1" applyFill="1" applyBorder="1" applyAlignment="1" applyProtection="1">
      <alignment horizontal="left"/>
      <protection hidden="1"/>
    </xf>
    <xf numFmtId="0" fontId="2" fillId="0" borderId="26" xfId="0" applyFont="1" applyBorder="1" applyProtection="1">
      <protection hidden="1"/>
    </xf>
    <xf numFmtId="0" fontId="0" fillId="0" borderId="55" xfId="0" applyBorder="1" applyProtection="1">
      <protection hidden="1"/>
    </xf>
    <xf numFmtId="0" fontId="0" fillId="0" borderId="56" xfId="0" applyBorder="1" applyAlignment="1" applyProtection="1">
      <alignment horizontal="center"/>
      <protection hidden="1"/>
    </xf>
    <xf numFmtId="14" fontId="0" fillId="0" borderId="55" xfId="0" applyNumberFormat="1" applyBorder="1" applyAlignment="1" applyProtection="1">
      <alignment horizontal="right"/>
      <protection hidden="1"/>
    </xf>
    <xf numFmtId="14" fontId="0" fillId="0" borderId="64" xfId="0" applyNumberFormat="1" applyBorder="1" applyAlignment="1" applyProtection="1">
      <alignment horizontal="left"/>
      <protection hidden="1"/>
    </xf>
    <xf numFmtId="0" fontId="2" fillId="0" borderId="65" xfId="0" applyFont="1" applyBorder="1" applyProtection="1">
      <protection hidden="1"/>
    </xf>
    <xf numFmtId="0" fontId="2" fillId="0" borderId="30" xfId="0" applyFont="1" applyBorder="1" applyProtection="1">
      <protection hidden="1"/>
    </xf>
    <xf numFmtId="0" fontId="2" fillId="0" borderId="66" xfId="0" quotePrefix="1" applyFont="1" applyBorder="1" applyAlignment="1" applyProtection="1">
      <alignment horizontal="left"/>
      <protection hidden="1"/>
    </xf>
    <xf numFmtId="0" fontId="2" fillId="0" borderId="30" xfId="0" applyFont="1" applyBorder="1" applyAlignment="1" applyProtection="1">
      <alignment horizontal="center"/>
      <protection hidden="1"/>
    </xf>
    <xf numFmtId="0" fontId="2" fillId="0" borderId="67" xfId="0" quotePrefix="1" applyFont="1" applyBorder="1" applyAlignment="1" applyProtection="1">
      <alignment horizontal="right"/>
      <protection hidden="1"/>
    </xf>
    <xf numFmtId="0" fontId="2" fillId="0" borderId="49" xfId="0" applyFont="1" applyBorder="1" applyProtection="1">
      <protection hidden="1"/>
    </xf>
    <xf numFmtId="0" fontId="2" fillId="0" borderId="68" xfId="0" applyFont="1" applyBorder="1" applyProtection="1">
      <protection hidden="1"/>
    </xf>
    <xf numFmtId="0" fontId="2" fillId="0" borderId="69" xfId="0" applyFont="1" applyBorder="1" applyProtection="1">
      <protection hidden="1"/>
    </xf>
    <xf numFmtId="0" fontId="2" fillId="0" borderId="35" xfId="0" quotePrefix="1" applyFont="1" applyBorder="1" applyAlignment="1" applyProtection="1">
      <alignment horizontal="left"/>
      <protection hidden="1"/>
    </xf>
    <xf numFmtId="17" fontId="2" fillId="0" borderId="69" xfId="0" applyNumberFormat="1" applyFont="1" applyBorder="1" applyProtection="1">
      <protection hidden="1"/>
    </xf>
    <xf numFmtId="0" fontId="2" fillId="0" borderId="70" xfId="0" applyFont="1" applyBorder="1" applyAlignment="1" applyProtection="1">
      <alignment horizontal="centerContinuous"/>
      <protection hidden="1"/>
    </xf>
    <xf numFmtId="0" fontId="2" fillId="0" borderId="71" xfId="0" applyFont="1" applyBorder="1" applyAlignment="1" applyProtection="1">
      <alignment horizontal="centerContinuous"/>
      <protection hidden="1"/>
    </xf>
    <xf numFmtId="0" fontId="3" fillId="0" borderId="34" xfId="0" applyFont="1" applyBorder="1" applyProtection="1">
      <protection hidden="1"/>
    </xf>
    <xf numFmtId="0" fontId="3" fillId="0" borderId="0" xfId="0" applyFont="1" applyProtection="1">
      <protection hidden="1"/>
    </xf>
    <xf numFmtId="0" fontId="0" fillId="0" borderId="72" xfId="0" applyBorder="1" applyProtection="1">
      <protection hidden="1"/>
    </xf>
    <xf numFmtId="0" fontId="0" fillId="0" borderId="0" xfId="0" applyProtection="1">
      <protection hidden="1"/>
    </xf>
    <xf numFmtId="0" fontId="0" fillId="0" borderId="34" xfId="0" applyBorder="1" applyProtection="1">
      <protection hidden="1"/>
    </xf>
    <xf numFmtId="0" fontId="0" fillId="0" borderId="0" xfId="0" quotePrefix="1" applyAlignment="1" applyProtection="1">
      <alignment horizontal="left"/>
      <protection hidden="1"/>
    </xf>
    <xf numFmtId="7" fontId="0" fillId="0" borderId="73" xfId="0" applyNumberFormat="1" applyBorder="1" applyProtection="1">
      <protection hidden="1"/>
    </xf>
    <xf numFmtId="7" fontId="0" fillId="0" borderId="72" xfId="0" applyNumberFormat="1" applyBorder="1" applyProtection="1">
      <protection hidden="1"/>
    </xf>
    <xf numFmtId="7" fontId="0" fillId="0" borderId="74" xfId="0" applyNumberFormat="1" applyBorder="1" applyProtection="1">
      <protection hidden="1"/>
    </xf>
    <xf numFmtId="1" fontId="0" fillId="0" borderId="73" xfId="0" applyNumberFormat="1" applyBorder="1" applyProtection="1">
      <protection hidden="1"/>
    </xf>
    <xf numFmtId="7" fontId="0" fillId="0" borderId="5" xfId="0" applyNumberFormat="1" applyBorder="1" applyProtection="1">
      <protection hidden="1"/>
    </xf>
    <xf numFmtId="0" fontId="3" fillId="0" borderId="68" xfId="0" applyFont="1" applyBorder="1" applyProtection="1">
      <protection hidden="1"/>
    </xf>
    <xf numFmtId="0" fontId="3" fillId="0" borderId="69" xfId="0" applyFont="1" applyBorder="1" applyProtection="1">
      <protection hidden="1"/>
    </xf>
    <xf numFmtId="0" fontId="0" fillId="0" borderId="70" xfId="0" applyBorder="1" applyProtection="1">
      <protection hidden="1"/>
    </xf>
    <xf numFmtId="0" fontId="0" fillId="0" borderId="69" xfId="0" applyBorder="1" applyProtection="1">
      <protection hidden="1"/>
    </xf>
    <xf numFmtId="0" fontId="3" fillId="0" borderId="34" xfId="0" quotePrefix="1" applyFont="1" applyBorder="1" applyAlignment="1" applyProtection="1">
      <alignment horizontal="left"/>
      <protection hidden="1"/>
    </xf>
    <xf numFmtId="0" fontId="0" fillId="0" borderId="0" xfId="0" applyAlignment="1" applyProtection="1">
      <alignment horizontal="left"/>
      <protection hidden="1"/>
    </xf>
    <xf numFmtId="0" fontId="0" fillId="0" borderId="67" xfId="0" applyBorder="1" applyAlignment="1" applyProtection="1">
      <alignment horizontal="centerContinuous"/>
      <protection hidden="1"/>
    </xf>
    <xf numFmtId="0" fontId="0" fillId="0" borderId="49" xfId="0" applyBorder="1" applyAlignment="1" applyProtection="1">
      <alignment horizontal="centerContinuous"/>
      <protection hidden="1"/>
    </xf>
    <xf numFmtId="0" fontId="0" fillId="0" borderId="73" xfId="0" applyBorder="1" applyAlignment="1" applyProtection="1">
      <alignment horizontal="centerContinuous"/>
      <protection hidden="1"/>
    </xf>
    <xf numFmtId="0" fontId="0" fillId="0" borderId="21" xfId="0" applyBorder="1" applyAlignment="1" applyProtection="1">
      <alignment horizontal="centerContinuous"/>
      <protection hidden="1"/>
    </xf>
    <xf numFmtId="0" fontId="0" fillId="0" borderId="75" xfId="0" applyBorder="1" applyProtection="1">
      <protection hidden="1"/>
    </xf>
    <xf numFmtId="0" fontId="0" fillId="0" borderId="57" xfId="0" applyBorder="1" applyAlignment="1" applyProtection="1">
      <alignment horizontal="center"/>
      <protection hidden="1"/>
    </xf>
    <xf numFmtId="7" fontId="0" fillId="0" borderId="57" xfId="0" applyNumberFormat="1" applyBorder="1" applyProtection="1">
      <protection hidden="1"/>
    </xf>
    <xf numFmtId="0" fontId="0" fillId="0" borderId="57" xfId="0" applyBorder="1" applyProtection="1">
      <protection hidden="1"/>
    </xf>
    <xf numFmtId="7" fontId="0" fillId="0" borderId="57" xfId="0" applyNumberFormat="1" applyBorder="1" applyAlignment="1" applyProtection="1">
      <alignment horizontal="center"/>
      <protection hidden="1"/>
    </xf>
    <xf numFmtId="0" fontId="0" fillId="0" borderId="13" xfId="0" applyBorder="1" applyAlignment="1" applyProtection="1">
      <alignment horizontal="centerContinuous"/>
      <protection hidden="1"/>
    </xf>
    <xf numFmtId="0" fontId="0" fillId="0" borderId="73" xfId="0" applyBorder="1" applyProtection="1">
      <protection hidden="1"/>
    </xf>
    <xf numFmtId="0" fontId="0" fillId="0" borderId="76" xfId="0" applyBorder="1" applyAlignment="1" applyProtection="1">
      <alignment horizontal="center"/>
      <protection hidden="1"/>
    </xf>
    <xf numFmtId="0" fontId="0" fillId="0" borderId="77" xfId="0" applyBorder="1" applyAlignment="1" applyProtection="1">
      <alignment horizontal="centerContinuous"/>
      <protection hidden="1"/>
    </xf>
    <xf numFmtId="0" fontId="0" fillId="0" borderId="78" xfId="0" applyBorder="1" applyAlignment="1" applyProtection="1">
      <alignment horizontal="center"/>
      <protection hidden="1"/>
    </xf>
    <xf numFmtId="165" fontId="0" fillId="0" borderId="57" xfId="0" applyNumberFormat="1" applyBorder="1" applyProtection="1">
      <protection hidden="1"/>
    </xf>
    <xf numFmtId="0" fontId="3" fillId="0" borderId="2" xfId="0" applyFont="1" applyBorder="1" applyProtection="1">
      <protection hidden="1"/>
    </xf>
    <xf numFmtId="0" fontId="0" fillId="0" borderId="7" xfId="0" applyBorder="1" applyProtection="1">
      <protection hidden="1"/>
    </xf>
    <xf numFmtId="165" fontId="0" fillId="0" borderId="21" xfId="0" applyNumberFormat="1" applyBorder="1" applyProtection="1">
      <protection hidden="1"/>
    </xf>
    <xf numFmtId="0" fontId="0" fillId="1" borderId="57" xfId="0" applyFill="1" applyBorder="1" applyProtection="1">
      <protection hidden="1"/>
    </xf>
    <xf numFmtId="0" fontId="0" fillId="0" borderId="2" xfId="0" applyBorder="1" applyProtection="1">
      <protection hidden="1"/>
    </xf>
    <xf numFmtId="0" fontId="0" fillId="0" borderId="7" xfId="0" applyBorder="1" applyAlignment="1" applyProtection="1">
      <alignment horizontal="right"/>
      <protection hidden="1"/>
    </xf>
    <xf numFmtId="7" fontId="0" fillId="0" borderId="7" xfId="0" applyNumberFormat="1" applyBorder="1" applyAlignment="1" applyProtection="1">
      <alignment horizontal="right"/>
      <protection hidden="1"/>
    </xf>
    <xf numFmtId="7" fontId="0" fillId="7" borderId="35" xfId="0" applyNumberFormat="1" applyFill="1" applyBorder="1" applyProtection="1">
      <protection locked="0"/>
    </xf>
    <xf numFmtId="0" fontId="0" fillId="8" borderId="0" xfId="0" applyFill="1"/>
    <xf numFmtId="0" fontId="0" fillId="0" borderId="70" xfId="0" applyBorder="1" applyAlignment="1">
      <alignment horizontal="right"/>
    </xf>
    <xf numFmtId="167" fontId="0" fillId="0" borderId="71" xfId="0" applyNumberFormat="1" applyBorder="1" applyAlignment="1">
      <alignment horizontal="center"/>
    </xf>
    <xf numFmtId="0" fontId="0" fillId="7" borderId="72" xfId="0" applyFill="1" applyBorder="1" applyProtection="1">
      <protection locked="0"/>
    </xf>
    <xf numFmtId="0" fontId="0" fillId="7" borderId="57" xfId="0" applyFill="1" applyBorder="1" applyProtection="1">
      <protection locked="0"/>
    </xf>
    <xf numFmtId="0" fontId="1" fillId="8" borderId="0" xfId="0" applyFont="1" applyFill="1"/>
    <xf numFmtId="0" fontId="0" fillId="8" borderId="0" xfId="0" applyFill="1" applyProtection="1">
      <protection hidden="1"/>
    </xf>
    <xf numFmtId="0" fontId="0" fillId="8" borderId="83" xfId="0" applyFill="1" applyBorder="1" applyProtection="1">
      <protection hidden="1"/>
    </xf>
    <xf numFmtId="0" fontId="0" fillId="8" borderId="0" xfId="0" quotePrefix="1" applyFill="1" applyAlignment="1" applyProtection="1">
      <alignment horizontal="left"/>
      <protection hidden="1"/>
    </xf>
    <xf numFmtId="0" fontId="0" fillId="8" borderId="0" xfId="0" quotePrefix="1" applyFill="1" applyAlignment="1">
      <alignment horizontal="right"/>
    </xf>
    <xf numFmtId="0" fontId="0" fillId="8" borderId="0" xfId="0" quotePrefix="1" applyFill="1" applyAlignment="1" applyProtection="1">
      <alignment horizontal="right"/>
      <protection hidden="1"/>
    </xf>
    <xf numFmtId="0" fontId="0" fillId="8" borderId="0" xfId="0" applyFill="1" applyAlignment="1" applyProtection="1">
      <alignment horizontal="right"/>
      <protection hidden="1"/>
    </xf>
    <xf numFmtId="0" fontId="0" fillId="8" borderId="0" xfId="0" quotePrefix="1" applyFill="1" applyProtection="1">
      <protection hidden="1"/>
    </xf>
    <xf numFmtId="0" fontId="0" fillId="8" borderId="84" xfId="0" applyFill="1" applyBorder="1" applyProtection="1">
      <protection hidden="1"/>
    </xf>
    <xf numFmtId="0" fontId="0" fillId="8" borderId="85" xfId="0" applyFill="1" applyBorder="1" applyProtection="1">
      <protection hidden="1"/>
    </xf>
    <xf numFmtId="0" fontId="0" fillId="7" borderId="0" xfId="0" applyFill="1" applyProtection="1">
      <protection hidden="1"/>
    </xf>
    <xf numFmtId="1" fontId="0" fillId="10" borderId="35" xfId="0" applyNumberFormat="1" applyFill="1" applyBorder="1" applyAlignment="1" applyProtection="1">
      <alignment horizontal="center"/>
      <protection locked="0"/>
    </xf>
    <xf numFmtId="166" fontId="0" fillId="7" borderId="87" xfId="0" applyNumberFormat="1" applyFill="1" applyBorder="1" applyProtection="1">
      <protection locked="0"/>
    </xf>
    <xf numFmtId="166" fontId="0" fillId="7" borderId="89" xfId="0" applyNumberFormat="1" applyFill="1" applyBorder="1" applyProtection="1">
      <protection locked="0"/>
    </xf>
    <xf numFmtId="166" fontId="0" fillId="7" borderId="90" xfId="0" applyNumberFormat="1" applyFill="1" applyBorder="1" applyProtection="1">
      <protection locked="0"/>
    </xf>
    <xf numFmtId="0" fontId="0" fillId="7" borderId="35" xfId="0" applyFill="1" applyBorder="1" applyProtection="1">
      <protection locked="0"/>
    </xf>
    <xf numFmtId="4" fontId="0" fillId="7" borderId="35" xfId="0" applyNumberFormat="1" applyFill="1" applyBorder="1" applyProtection="1">
      <protection locked="0"/>
    </xf>
    <xf numFmtId="0" fontId="0" fillId="0" borderId="54" xfId="0" applyBorder="1" applyProtection="1">
      <protection hidden="1"/>
    </xf>
    <xf numFmtId="4" fontId="0" fillId="0" borderId="2" xfId="0" applyNumberFormat="1" applyBorder="1" applyProtection="1">
      <protection hidden="1"/>
    </xf>
    <xf numFmtId="4" fontId="0" fillId="0" borderId="8" xfId="0" applyNumberFormat="1" applyBorder="1" applyProtection="1">
      <protection hidden="1"/>
    </xf>
    <xf numFmtId="4" fontId="0" fillId="0" borderId="16" xfId="0" applyNumberFormat="1" applyBorder="1" applyProtection="1">
      <protection hidden="1"/>
    </xf>
    <xf numFmtId="4" fontId="0" fillId="7" borderId="1" xfId="0" applyNumberFormat="1" applyFill="1" applyBorder="1" applyProtection="1">
      <protection locked="0" hidden="1"/>
    </xf>
    <xf numFmtId="0" fontId="0" fillId="3" borderId="91" xfId="0" applyFill="1" applyBorder="1"/>
    <xf numFmtId="0" fontId="0" fillId="3" borderId="92" xfId="0" applyFill="1" applyBorder="1"/>
    <xf numFmtId="0" fontId="0" fillId="8" borderId="16" xfId="0" applyFill="1" applyBorder="1"/>
    <xf numFmtId="7" fontId="0" fillId="8" borderId="28" xfId="0" applyNumberFormat="1" applyFill="1" applyBorder="1" applyProtection="1">
      <protection locked="0"/>
    </xf>
    <xf numFmtId="7" fontId="0" fillId="8" borderId="11" xfId="0" applyNumberFormat="1" applyFill="1" applyBorder="1"/>
    <xf numFmtId="0" fontId="0" fillId="8" borderId="34" xfId="0" applyFill="1" applyBorder="1"/>
    <xf numFmtId="7" fontId="0" fillId="8" borderId="0" xfId="0" applyNumberFormat="1" applyFill="1" applyProtection="1">
      <protection locked="0"/>
    </xf>
    <xf numFmtId="7" fontId="0" fillId="8" borderId="57" xfId="0" applyNumberFormat="1" applyFill="1" applyBorder="1"/>
    <xf numFmtId="0" fontId="0" fillId="8" borderId="34" xfId="0" applyFill="1" applyBorder="1" applyAlignment="1">
      <alignment horizontal="left"/>
    </xf>
    <xf numFmtId="0" fontId="0" fillId="11" borderId="0" xfId="0" applyFill="1"/>
    <xf numFmtId="0" fontId="0" fillId="11" borderId="57" xfId="0" applyFill="1" applyBorder="1"/>
    <xf numFmtId="0" fontId="0" fillId="11" borderId="34" xfId="0" applyFill="1" applyBorder="1"/>
    <xf numFmtId="0" fontId="0" fillId="8" borderId="4" xfId="0" applyFill="1" applyBorder="1"/>
    <xf numFmtId="0" fontId="0" fillId="8" borderId="5" xfId="0" applyFill="1" applyBorder="1"/>
    <xf numFmtId="0" fontId="0" fillId="8" borderId="21" xfId="0" applyFill="1" applyBorder="1"/>
    <xf numFmtId="0" fontId="0" fillId="0" borderId="59" xfId="0" applyBorder="1"/>
    <xf numFmtId="0" fontId="0" fillId="0" borderId="60" xfId="0" applyBorder="1"/>
    <xf numFmtId="0" fontId="8" fillId="8" borderId="0" xfId="0" applyFont="1" applyFill="1" applyProtection="1">
      <protection hidden="1"/>
    </xf>
    <xf numFmtId="0" fontId="0" fillId="9" borderId="0" xfId="0" applyFill="1" applyProtection="1">
      <protection hidden="1"/>
    </xf>
    <xf numFmtId="7" fontId="4" fillId="5" borderId="47" xfId="0" applyNumberFormat="1" applyFont="1" applyFill="1" applyBorder="1" applyAlignment="1">
      <alignment horizontal="center"/>
    </xf>
    <xf numFmtId="0" fontId="1" fillId="0" borderId="95" xfId="0" applyFont="1" applyBorder="1" applyAlignment="1">
      <alignment horizontal="center"/>
    </xf>
    <xf numFmtId="0" fontId="4" fillId="5" borderId="96" xfId="0" applyFont="1" applyFill="1" applyBorder="1" applyAlignment="1">
      <alignment horizontal="center"/>
    </xf>
    <xf numFmtId="166" fontId="0" fillId="7" borderId="97" xfId="0" applyNumberFormat="1" applyFill="1" applyBorder="1" applyProtection="1">
      <protection locked="0"/>
    </xf>
    <xf numFmtId="166" fontId="4" fillId="7" borderId="97" xfId="0" applyNumberFormat="1" applyFont="1" applyFill="1" applyBorder="1" applyProtection="1">
      <protection locked="0"/>
    </xf>
    <xf numFmtId="0" fontId="0" fillId="5" borderId="98" xfId="0" applyFill="1" applyBorder="1" applyAlignment="1">
      <alignment horizontal="centerContinuous"/>
    </xf>
    <xf numFmtId="7" fontId="4" fillId="5" borderId="99" xfId="0" applyNumberFormat="1" applyFont="1" applyFill="1" applyBorder="1" applyAlignment="1">
      <alignment horizontal="center"/>
    </xf>
    <xf numFmtId="7" fontId="4" fillId="5" borderId="100" xfId="0" applyNumberFormat="1" applyFont="1" applyFill="1" applyBorder="1" applyAlignment="1">
      <alignment horizontal="center"/>
    </xf>
    <xf numFmtId="7" fontId="1" fillId="5" borderId="99" xfId="0" applyNumberFormat="1" applyFont="1" applyFill="1" applyBorder="1" applyAlignment="1">
      <alignment horizontal="center"/>
    </xf>
    <xf numFmtId="0" fontId="0" fillId="5" borderId="28" xfId="0" applyFill="1" applyBorder="1" applyProtection="1">
      <protection hidden="1"/>
    </xf>
    <xf numFmtId="0" fontId="0" fillId="5" borderId="11" xfId="0" applyFill="1" applyBorder="1" applyProtection="1">
      <protection hidden="1"/>
    </xf>
    <xf numFmtId="0" fontId="9" fillId="5" borderId="4" xfId="0" applyFont="1" applyFill="1" applyBorder="1" applyProtection="1">
      <protection hidden="1"/>
    </xf>
    <xf numFmtId="0" fontId="5" fillId="5" borderId="5" xfId="0" applyFont="1" applyFill="1" applyBorder="1" applyProtection="1">
      <protection hidden="1"/>
    </xf>
    <xf numFmtId="0" fontId="0" fillId="5" borderId="5" xfId="0" applyFill="1" applyBorder="1" applyProtection="1">
      <protection hidden="1"/>
    </xf>
    <xf numFmtId="0" fontId="0" fillId="5" borderId="21" xfId="0" applyFill="1" applyBorder="1" applyProtection="1">
      <protection hidden="1"/>
    </xf>
    <xf numFmtId="0" fontId="0" fillId="8" borderId="0" xfId="0" applyFill="1" applyAlignment="1" applyProtection="1">
      <alignment horizontal="center"/>
      <protection hidden="1"/>
    </xf>
    <xf numFmtId="0" fontId="0" fillId="8" borderId="8" xfId="0" applyFill="1" applyBorder="1"/>
    <xf numFmtId="0" fontId="0" fillId="8" borderId="54" xfId="0" applyFill="1" applyBorder="1"/>
    <xf numFmtId="0" fontId="0" fillId="8" borderId="9" xfId="0" applyFill="1" applyBorder="1"/>
    <xf numFmtId="0" fontId="10" fillId="8" borderId="0" xfId="0" applyFont="1" applyFill="1" applyProtection="1">
      <protection hidden="1"/>
    </xf>
    <xf numFmtId="0" fontId="8" fillId="5" borderId="16" xfId="0" applyFont="1" applyFill="1" applyBorder="1" applyProtection="1">
      <protection hidden="1"/>
    </xf>
    <xf numFmtId="0" fontId="5" fillId="5" borderId="0" xfId="0" applyFont="1" applyFill="1" applyProtection="1">
      <protection hidden="1"/>
    </xf>
    <xf numFmtId="0" fontId="0" fillId="5" borderId="0" xfId="0" applyFill="1" applyProtection="1">
      <protection hidden="1"/>
    </xf>
    <xf numFmtId="0" fontId="9" fillId="5" borderId="34" xfId="0" applyFont="1" applyFill="1" applyBorder="1" applyProtection="1">
      <protection hidden="1"/>
    </xf>
    <xf numFmtId="0" fontId="0" fillId="5" borderId="57" xfId="0" applyFill="1" applyBorder="1" applyProtection="1">
      <protection hidden="1"/>
    </xf>
    <xf numFmtId="166" fontId="0" fillId="0" borderId="39" xfId="0" applyNumberFormat="1" applyBorder="1" applyProtection="1">
      <protection hidden="1"/>
    </xf>
    <xf numFmtId="166" fontId="0" fillId="0" borderId="101" xfId="0" applyNumberFormat="1" applyBorder="1" applyProtection="1">
      <protection hidden="1"/>
    </xf>
    <xf numFmtId="166" fontId="0" fillId="0" borderId="48" xfId="0" applyNumberFormat="1" applyBorder="1" applyProtection="1">
      <protection hidden="1"/>
    </xf>
    <xf numFmtId="0" fontId="0" fillId="3" borderId="3" xfId="0" applyFill="1" applyBorder="1" applyProtection="1">
      <protection hidden="1"/>
    </xf>
    <xf numFmtId="0" fontId="0" fillId="3" borderId="102" xfId="0" applyFill="1" applyBorder="1" applyProtection="1">
      <protection hidden="1"/>
    </xf>
    <xf numFmtId="4" fontId="0" fillId="4" borderId="103" xfId="0" applyNumberFormat="1" applyFill="1" applyBorder="1" applyProtection="1">
      <protection hidden="1"/>
    </xf>
    <xf numFmtId="166" fontId="0" fillId="3" borderId="102" xfId="0" applyNumberFormat="1" applyFill="1" applyBorder="1" applyProtection="1">
      <protection hidden="1"/>
    </xf>
    <xf numFmtId="166" fontId="0" fillId="3" borderId="22" xfId="0" applyNumberFormat="1" applyFill="1" applyBorder="1" applyProtection="1">
      <protection hidden="1"/>
    </xf>
    <xf numFmtId="7" fontId="0" fillId="4" borderId="28" xfId="0" applyNumberFormat="1" applyFill="1" applyBorder="1" applyProtection="1">
      <protection hidden="1"/>
    </xf>
    <xf numFmtId="166" fontId="0" fillId="3" borderId="103" xfId="0" applyNumberFormat="1" applyFill="1" applyBorder="1" applyProtection="1">
      <protection hidden="1"/>
    </xf>
    <xf numFmtId="4" fontId="0" fillId="0" borderId="23" xfId="0" applyNumberFormat="1" applyBorder="1" applyProtection="1">
      <protection hidden="1"/>
    </xf>
    <xf numFmtId="0" fontId="0" fillId="8" borderId="0" xfId="0" quotePrefix="1" applyFill="1" applyAlignment="1">
      <alignment horizontal="left" vertical="center"/>
    </xf>
    <xf numFmtId="0" fontId="0" fillId="8" borderId="0" xfId="0" applyFill="1" applyAlignment="1">
      <alignment horizontal="left" vertical="center"/>
    </xf>
    <xf numFmtId="17" fontId="0" fillId="0" borderId="1" xfId="0" applyNumberFormat="1" applyBorder="1"/>
    <xf numFmtId="0" fontId="12" fillId="1" borderId="0" xfId="0" applyFont="1" applyFill="1"/>
    <xf numFmtId="0" fontId="0" fillId="2" borderId="2" xfId="0" applyFill="1" applyBorder="1"/>
    <xf numFmtId="0" fontId="0" fillId="2" borderId="7" xfId="0" applyFill="1" applyBorder="1"/>
    <xf numFmtId="0" fontId="0" fillId="2" borderId="3" xfId="0" applyFill="1" applyBorder="1"/>
    <xf numFmtId="0" fontId="0" fillId="0" borderId="7" xfId="0" applyBorder="1"/>
    <xf numFmtId="0" fontId="0" fillId="0" borderId="3" xfId="0" applyBorder="1"/>
    <xf numFmtId="0" fontId="0" fillId="1" borderId="4" xfId="0" applyFill="1" applyBorder="1"/>
    <xf numFmtId="0" fontId="0" fillId="1" borderId="5" xfId="0" applyFill="1" applyBorder="1"/>
    <xf numFmtId="17" fontId="0" fillId="0" borderId="3" xfId="0" applyNumberFormat="1" applyBorder="1"/>
    <xf numFmtId="17" fontId="16" fillId="0" borderId="1" xfId="0" applyNumberFormat="1" applyFont="1" applyBorder="1"/>
    <xf numFmtId="0" fontId="4" fillId="7" borderId="35" xfId="0" applyFont="1" applyFill="1" applyBorder="1" applyAlignment="1" applyProtection="1">
      <alignment vertical="top"/>
      <protection locked="0"/>
    </xf>
    <xf numFmtId="0" fontId="4" fillId="3" borderId="2" xfId="0" applyFont="1" applyFill="1" applyBorder="1"/>
    <xf numFmtId="0" fontId="18" fillId="1" borderId="0" xfId="0" applyFont="1" applyFill="1"/>
    <xf numFmtId="0" fontId="19" fillId="1" borderId="0" xfId="0" applyFont="1" applyFill="1"/>
    <xf numFmtId="0" fontId="4" fillId="1" borderId="0" xfId="0" applyFont="1" applyFill="1"/>
    <xf numFmtId="0" fontId="4" fillId="0" borderId="1" xfId="0" applyFont="1" applyBorder="1"/>
    <xf numFmtId="0" fontId="0" fillId="8" borderId="0" xfId="0" applyFill="1" applyAlignment="1" applyProtection="1">
      <alignment horizontal="centerContinuous"/>
      <protection hidden="1"/>
    </xf>
    <xf numFmtId="0" fontId="16" fillId="8" borderId="0" xfId="0" applyFont="1" applyFill="1"/>
    <xf numFmtId="166" fontId="0" fillId="7" borderId="86" xfId="0" applyNumberFormat="1" applyFill="1" applyBorder="1" applyProtection="1">
      <protection hidden="1"/>
    </xf>
    <xf numFmtId="8" fontId="0" fillId="3" borderId="0" xfId="0" applyNumberFormat="1" applyFill="1"/>
    <xf numFmtId="44" fontId="0" fillId="3" borderId="0" xfId="0" applyNumberFormat="1" applyFill="1"/>
    <xf numFmtId="166" fontId="24" fillId="3" borderId="21" xfId="0" applyNumberFormat="1" applyFont="1" applyFill="1" applyBorder="1" applyProtection="1">
      <protection hidden="1"/>
    </xf>
    <xf numFmtId="166" fontId="24" fillId="3" borderId="3" xfId="0" applyNumberFormat="1" applyFont="1" applyFill="1" applyBorder="1" applyProtection="1">
      <protection hidden="1"/>
    </xf>
    <xf numFmtId="0" fontId="4" fillId="4" borderId="0" xfId="0" applyFont="1" applyFill="1"/>
    <xf numFmtId="0" fontId="26" fillId="8" borderId="0" xfId="0" applyFont="1" applyFill="1"/>
    <xf numFmtId="44" fontId="21" fillId="8" borderId="107" xfId="1" applyFont="1" applyFill="1" applyBorder="1" applyProtection="1">
      <protection hidden="1"/>
    </xf>
    <xf numFmtId="0" fontId="0" fillId="14" borderId="0" xfId="0" applyFill="1"/>
    <xf numFmtId="0" fontId="22" fillId="14" borderId="0" xfId="0" applyFont="1" applyFill="1" applyProtection="1">
      <protection hidden="1"/>
    </xf>
    <xf numFmtId="1" fontId="0" fillId="14" borderId="0" xfId="0" applyNumberFormat="1" applyFill="1"/>
    <xf numFmtId="165" fontId="0" fillId="14" borderId="0" xfId="0" applyNumberFormat="1" applyFill="1"/>
    <xf numFmtId="0" fontId="0" fillId="14" borderId="0" xfId="0" applyFill="1" applyProtection="1">
      <protection hidden="1"/>
    </xf>
    <xf numFmtId="0" fontId="18" fillId="14" borderId="0" xfId="0" applyFont="1" applyFill="1" applyProtection="1">
      <protection hidden="1"/>
    </xf>
    <xf numFmtId="1" fontId="18" fillId="14" borderId="0" xfId="0" applyNumberFormat="1" applyFont="1" applyFill="1" applyProtection="1">
      <protection hidden="1"/>
    </xf>
    <xf numFmtId="165" fontId="18" fillId="14" borderId="0" xfId="0" applyNumberFormat="1" applyFont="1" applyFill="1" applyProtection="1">
      <protection hidden="1"/>
    </xf>
    <xf numFmtId="44" fontId="25" fillId="13" borderId="35" xfId="1" applyFont="1" applyFill="1" applyBorder="1" applyAlignment="1" applyProtection="1">
      <alignment horizontal="center"/>
      <protection hidden="1"/>
    </xf>
    <xf numFmtId="44" fontId="0" fillId="0" borderId="107" xfId="1" applyFont="1" applyFill="1" applyBorder="1" applyProtection="1">
      <protection locked="0"/>
    </xf>
    <xf numFmtId="0" fontId="26" fillId="5" borderId="0" xfId="0" applyFont="1" applyFill="1"/>
    <xf numFmtId="1" fontId="0" fillId="15" borderId="1" xfId="0" applyNumberFormat="1" applyFill="1" applyBorder="1" applyAlignment="1" applyProtection="1">
      <alignment horizontal="center"/>
      <protection hidden="1"/>
    </xf>
    <xf numFmtId="0" fontId="4" fillId="18" borderId="113" xfId="0" applyFont="1" applyFill="1" applyBorder="1" applyAlignment="1">
      <alignment horizontal="center"/>
    </xf>
    <xf numFmtId="1" fontId="0" fillId="15" borderId="114" xfId="0" applyNumberFormat="1" applyFill="1" applyBorder="1" applyAlignment="1" applyProtection="1">
      <alignment horizontal="center"/>
      <protection hidden="1"/>
    </xf>
    <xf numFmtId="0" fontId="0" fillId="0" borderId="102" xfId="0" applyBorder="1" applyAlignment="1">
      <alignment horizontal="center"/>
    </xf>
    <xf numFmtId="0" fontId="4" fillId="18" borderId="102" xfId="0" applyFont="1" applyFill="1" applyBorder="1" applyAlignment="1">
      <alignment horizontal="center"/>
    </xf>
    <xf numFmtId="0" fontId="4" fillId="18" borderId="117" xfId="0" applyFont="1" applyFill="1" applyBorder="1" applyAlignment="1">
      <alignment horizontal="center"/>
    </xf>
    <xf numFmtId="0" fontId="16" fillId="16" borderId="0" xfId="0" applyFont="1" applyFill="1"/>
    <xf numFmtId="0" fontId="4" fillId="16" borderId="0" xfId="0" applyFont="1" applyFill="1"/>
    <xf numFmtId="0" fontId="0" fillId="16" borderId="0" xfId="0" applyFill="1"/>
    <xf numFmtId="0" fontId="1" fillId="19" borderId="79" xfId="0" applyFont="1" applyFill="1" applyBorder="1" applyAlignment="1">
      <alignment horizontal="center"/>
    </xf>
    <xf numFmtId="166" fontId="1" fillId="12" borderId="118" xfId="0" applyNumberFormat="1" applyFont="1" applyFill="1" applyBorder="1" applyAlignment="1" applyProtection="1">
      <alignment horizontal="center"/>
      <protection hidden="1"/>
    </xf>
    <xf numFmtId="166" fontId="1" fillId="12" borderId="118" xfId="0" applyNumberFormat="1" applyFont="1" applyFill="1" applyBorder="1" applyAlignment="1" applyProtection="1">
      <alignment horizontal="center"/>
      <protection locked="0"/>
    </xf>
    <xf numFmtId="0" fontId="4" fillId="8" borderId="54" xfId="0" applyFont="1" applyFill="1" applyBorder="1"/>
    <xf numFmtId="166" fontId="0" fillId="3" borderId="0" xfId="0" applyNumberFormat="1" applyFill="1"/>
    <xf numFmtId="166" fontId="16" fillId="13" borderId="43" xfId="0" applyNumberFormat="1" applyFont="1" applyFill="1" applyBorder="1" applyProtection="1">
      <protection locked="0"/>
    </xf>
    <xf numFmtId="4" fontId="1" fillId="2" borderId="44" xfId="0" applyNumberFormat="1" applyFont="1" applyFill="1" applyBorder="1" applyProtection="1">
      <protection hidden="1"/>
    </xf>
    <xf numFmtId="44" fontId="0" fillId="15" borderId="1" xfId="1" applyFont="1" applyFill="1" applyBorder="1" applyAlignment="1" applyProtection="1">
      <alignment horizontal="center"/>
      <protection hidden="1"/>
    </xf>
    <xf numFmtId="44" fontId="0" fillId="15" borderId="1" xfId="1" applyFont="1" applyFill="1" applyBorder="1" applyAlignment="1" applyProtection="1">
      <alignment horizontal="left"/>
      <protection hidden="1"/>
    </xf>
    <xf numFmtId="0" fontId="4" fillId="0" borderId="0" xfId="0" applyFont="1"/>
    <xf numFmtId="0" fontId="16" fillId="0" borderId="0" xfId="0" applyFont="1" applyProtection="1">
      <protection hidden="1"/>
    </xf>
    <xf numFmtId="7" fontId="16" fillId="0" borderId="5" xfId="0" applyNumberFormat="1" applyFont="1" applyBorder="1" applyProtection="1">
      <protection hidden="1"/>
    </xf>
    <xf numFmtId="7" fontId="16" fillId="0" borderId="0" xfId="0" applyNumberFormat="1" applyFont="1" applyProtection="1">
      <protection hidden="1"/>
    </xf>
    <xf numFmtId="5" fontId="1" fillId="2" borderId="1" xfId="0" applyNumberFormat="1" applyFont="1" applyFill="1" applyBorder="1"/>
    <xf numFmtId="0" fontId="16" fillId="0" borderId="1" xfId="0" applyFont="1" applyBorder="1"/>
    <xf numFmtId="0" fontId="4" fillId="0" borderId="0" xfId="0" applyFont="1" applyProtection="1">
      <protection hidden="1"/>
    </xf>
    <xf numFmtId="7" fontId="3" fillId="7" borderId="35" xfId="0" applyNumberFormat="1" applyFont="1" applyFill="1" applyBorder="1" applyProtection="1">
      <protection locked="0"/>
    </xf>
    <xf numFmtId="0" fontId="21" fillId="13" borderId="35" xfId="0" applyFont="1" applyFill="1" applyBorder="1" applyAlignment="1" applyProtection="1">
      <alignment horizontal="center"/>
      <protection locked="0"/>
    </xf>
    <xf numFmtId="0" fontId="0" fillId="7" borderId="72" xfId="0" applyFill="1" applyBorder="1" applyAlignment="1" applyProtection="1">
      <alignment wrapText="1"/>
      <protection locked="0"/>
    </xf>
    <xf numFmtId="0" fontId="0" fillId="7" borderId="57" xfId="0" applyFill="1" applyBorder="1" applyAlignment="1" applyProtection="1">
      <alignment wrapText="1"/>
      <protection locked="0"/>
    </xf>
    <xf numFmtId="0" fontId="0" fillId="16" borderId="114" xfId="0" applyFill="1" applyBorder="1" applyProtection="1">
      <protection hidden="1"/>
    </xf>
    <xf numFmtId="0" fontId="0" fillId="16" borderId="115" xfId="0" applyFill="1" applyBorder="1" applyProtection="1"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16" borderId="1" xfId="0" applyFill="1" applyBorder="1" applyProtection="1">
      <protection hidden="1"/>
    </xf>
    <xf numFmtId="0" fontId="0" fillId="16" borderId="116" xfId="0" applyFill="1" applyBorder="1" applyProtection="1">
      <protection hidden="1"/>
    </xf>
    <xf numFmtId="0" fontId="1" fillId="19" borderId="79" xfId="0" applyFont="1" applyFill="1" applyBorder="1" applyAlignment="1" applyProtection="1">
      <alignment horizontal="left"/>
      <protection hidden="1"/>
    </xf>
    <xf numFmtId="0" fontId="1" fillId="19" borderId="79" xfId="0" applyFont="1" applyFill="1" applyBorder="1" applyAlignment="1" applyProtection="1">
      <alignment horizontal="center"/>
      <protection hidden="1"/>
    </xf>
    <xf numFmtId="0" fontId="0" fillId="16" borderId="3" xfId="0" applyFill="1" applyBorder="1" applyProtection="1">
      <protection hidden="1"/>
    </xf>
    <xf numFmtId="165" fontId="0" fillId="0" borderId="9" xfId="0" applyNumberFormat="1" applyBorder="1" applyProtection="1">
      <protection hidden="1"/>
    </xf>
    <xf numFmtId="0" fontId="4" fillId="0" borderId="8" xfId="0" applyFont="1" applyBorder="1" applyProtection="1">
      <protection hidden="1"/>
    </xf>
    <xf numFmtId="0" fontId="4" fillId="0" borderId="0" xfId="0" applyFont="1" applyAlignment="1">
      <alignment horizontal="center"/>
    </xf>
    <xf numFmtId="0" fontId="0" fillId="0" borderId="0" xfId="0" applyProtection="1">
      <protection locked="0"/>
    </xf>
    <xf numFmtId="2" fontId="0" fillId="0" borderId="0" xfId="0" applyNumberFormat="1" applyProtection="1">
      <protection locked="0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0" borderId="0" xfId="0" applyNumberFormat="1" applyAlignment="1" applyProtection="1">
      <alignment horizontal="center"/>
      <protection locked="0"/>
    </xf>
    <xf numFmtId="0" fontId="4" fillId="8" borderId="0" xfId="0" applyFont="1" applyFill="1" applyAlignment="1" applyProtection="1">
      <alignment horizontal="left"/>
      <protection hidden="1"/>
    </xf>
    <xf numFmtId="0" fontId="4" fillId="0" borderId="0" xfId="0" applyFont="1" applyProtection="1">
      <protection locked="0"/>
    </xf>
    <xf numFmtId="168" fontId="0" fillId="0" borderId="0" xfId="0" applyNumberForma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0" fontId="16" fillId="0" borderId="0" xfId="0" applyFont="1"/>
    <xf numFmtId="0" fontId="16" fillId="0" borderId="0" xfId="0" applyFont="1" applyProtection="1">
      <protection locked="0"/>
    </xf>
    <xf numFmtId="10" fontId="0" fillId="0" borderId="0" xfId="0" applyNumberFormat="1" applyProtection="1">
      <protection locked="0"/>
    </xf>
    <xf numFmtId="8" fontId="0" fillId="0" borderId="0" xfId="0" applyNumberFormat="1"/>
    <xf numFmtId="2" fontId="16" fillId="0" borderId="0" xfId="0" applyNumberFormat="1" applyFont="1" applyAlignment="1" applyProtection="1">
      <alignment horizontal="center"/>
      <protection locked="0"/>
    </xf>
    <xf numFmtId="0" fontId="34" fillId="0" borderId="0" xfId="0" applyFont="1"/>
    <xf numFmtId="16" fontId="16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/>
    <xf numFmtId="0" fontId="16" fillId="0" borderId="0" xfId="0" applyFont="1" applyAlignment="1">
      <alignment horizontal="left"/>
    </xf>
    <xf numFmtId="2" fontId="34" fillId="0" borderId="0" xfId="0" applyNumberFormat="1" applyFont="1" applyAlignment="1" applyProtection="1">
      <alignment horizontal="center"/>
      <protection hidden="1"/>
    </xf>
    <xf numFmtId="0" fontId="24" fillId="0" borderId="0" xfId="0" applyFont="1" applyAlignment="1" applyProtection="1">
      <alignment horizontal="center"/>
      <protection hidden="1"/>
    </xf>
    <xf numFmtId="14" fontId="0" fillId="0" borderId="0" xfId="0" applyNumberFormat="1" applyAlignment="1" applyProtection="1">
      <alignment horizontal="center"/>
      <protection hidden="1"/>
    </xf>
    <xf numFmtId="0" fontId="16" fillId="0" borderId="60" xfId="0" applyFont="1" applyBorder="1" applyAlignment="1" applyProtection="1">
      <alignment horizontal="center"/>
      <protection hidden="1"/>
    </xf>
    <xf numFmtId="4" fontId="0" fillId="3" borderId="0" xfId="0" applyNumberFormat="1" applyFill="1" applyProtection="1">
      <protection hidden="1"/>
    </xf>
    <xf numFmtId="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3" borderId="0" xfId="0" applyFill="1" applyProtection="1">
      <protection hidden="1"/>
    </xf>
    <xf numFmtId="0" fontId="4" fillId="3" borderId="2" xfId="0" quotePrefix="1" applyFont="1" applyFill="1" applyBorder="1" applyAlignment="1" applyProtection="1">
      <alignment horizontal="left"/>
      <protection hidden="1"/>
    </xf>
    <xf numFmtId="0" fontId="4" fillId="3" borderId="26" xfId="0" applyFont="1" applyFill="1" applyBorder="1"/>
    <xf numFmtId="166" fontId="0" fillId="3" borderId="1" xfId="0" applyNumberFormat="1" applyFill="1" applyBorder="1" applyAlignment="1" applyProtection="1">
      <alignment horizontal="center"/>
      <protection hidden="1"/>
    </xf>
    <xf numFmtId="169" fontId="0" fillId="0" borderId="0" xfId="0" applyNumberFormat="1" applyAlignment="1" applyProtection="1">
      <alignment horizontal="center"/>
      <protection hidden="1"/>
    </xf>
    <xf numFmtId="169" fontId="0" fillId="7" borderId="110" xfId="0" applyNumberFormat="1" applyFill="1" applyBorder="1" applyAlignment="1" applyProtection="1">
      <alignment horizontal="center"/>
      <protection hidden="1"/>
    </xf>
    <xf numFmtId="7" fontId="7" fillId="3" borderId="1" xfId="0" applyNumberFormat="1" applyFont="1" applyFill="1" applyBorder="1" applyProtection="1">
      <protection hidden="1"/>
    </xf>
    <xf numFmtId="166" fontId="24" fillId="3" borderId="53" xfId="0" applyNumberFormat="1" applyFont="1" applyFill="1" applyBorder="1" applyProtection="1">
      <protection hidden="1"/>
    </xf>
    <xf numFmtId="0" fontId="4" fillId="3" borderId="1" xfId="0" applyFont="1" applyFill="1" applyBorder="1" applyAlignment="1">
      <alignment horizontal="center"/>
    </xf>
    <xf numFmtId="169" fontId="4" fillId="0" borderId="0" xfId="0" applyNumberFormat="1" applyFont="1"/>
    <xf numFmtId="166" fontId="1" fillId="3" borderId="1" xfId="0" applyNumberFormat="1" applyFont="1" applyFill="1" applyBorder="1" applyProtection="1">
      <protection hidden="1"/>
    </xf>
    <xf numFmtId="3" fontId="21" fillId="7" borderId="119" xfId="0" applyNumberFormat="1" applyFont="1" applyFill="1" applyBorder="1" applyAlignment="1" applyProtection="1">
      <alignment horizontal="center"/>
      <protection locked="0"/>
    </xf>
    <xf numFmtId="166" fontId="1" fillId="0" borderId="3" xfId="0" applyNumberFormat="1" applyFont="1" applyBorder="1" applyProtection="1">
      <protection hidden="1"/>
    </xf>
    <xf numFmtId="0" fontId="32" fillId="7" borderId="35" xfId="0" applyFont="1" applyFill="1" applyBorder="1" applyAlignment="1" applyProtection="1">
      <alignment horizontal="center" vertical="top"/>
      <protection locked="0"/>
    </xf>
    <xf numFmtId="0" fontId="1" fillId="0" borderId="0" xfId="0" applyFont="1" applyAlignment="1">
      <alignment horizontal="center"/>
    </xf>
    <xf numFmtId="0" fontId="1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 hidden="1"/>
    </xf>
    <xf numFmtId="0" fontId="4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166" fontId="24" fillId="3" borderId="1" xfId="0" applyNumberFormat="1" applyFont="1" applyFill="1" applyBorder="1" applyProtection="1">
      <protection hidden="1"/>
    </xf>
    <xf numFmtId="0" fontId="1" fillId="0" borderId="0" xfId="0" applyFont="1" applyAlignment="1">
      <alignment horizontal="right"/>
    </xf>
    <xf numFmtId="0" fontId="21" fillId="0" borderId="0" xfId="0" applyFont="1" applyAlignment="1" applyProtection="1">
      <alignment horizontal="center"/>
      <protection locked="0"/>
    </xf>
    <xf numFmtId="0" fontId="1" fillId="0" borderId="0" xfId="0" applyFont="1"/>
    <xf numFmtId="2" fontId="4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center"/>
    </xf>
    <xf numFmtId="4" fontId="16" fillId="0" borderId="1" xfId="0" applyNumberFormat="1" applyFont="1" applyBorder="1" applyProtection="1">
      <protection hidden="1"/>
    </xf>
    <xf numFmtId="0" fontId="16" fillId="0" borderId="0" xfId="0" applyFont="1" applyAlignment="1" applyProtection="1">
      <alignment horizontal="center"/>
      <protection locked="0"/>
    </xf>
    <xf numFmtId="2" fontId="4" fillId="0" borderId="0" xfId="0" applyNumberFormat="1" applyFont="1" applyAlignment="1" applyProtection="1">
      <alignment horizontal="center"/>
      <protection locked="0" hidden="1"/>
    </xf>
    <xf numFmtId="10" fontId="16" fillId="0" borderId="0" xfId="0" applyNumberFormat="1" applyFont="1" applyAlignment="1" applyProtection="1">
      <alignment horizontal="center"/>
      <protection locked="0"/>
    </xf>
    <xf numFmtId="2" fontId="1" fillId="0" borderId="0" xfId="0" applyNumberFormat="1" applyFont="1" applyAlignment="1" applyProtection="1">
      <alignment horizontal="center"/>
      <protection hidden="1"/>
    </xf>
    <xf numFmtId="2" fontId="35" fillId="0" borderId="0" xfId="0" applyNumberFormat="1" applyFont="1" applyAlignment="1" applyProtection="1">
      <alignment horizontal="center"/>
      <protection hidden="1"/>
    </xf>
    <xf numFmtId="0" fontId="16" fillId="0" borderId="0" xfId="0" applyFont="1" applyAlignment="1">
      <alignment horizontal="center"/>
    </xf>
    <xf numFmtId="2" fontId="4" fillId="0" borderId="0" xfId="0" applyNumberFormat="1" applyFont="1" applyAlignment="1" applyProtection="1">
      <alignment horizontal="center"/>
      <protection locked="0"/>
    </xf>
    <xf numFmtId="169" fontId="4" fillId="0" borderId="0" xfId="0" applyNumberFormat="1" applyFont="1" applyAlignment="1" applyProtection="1">
      <alignment horizontal="center"/>
      <protection hidden="1"/>
    </xf>
    <xf numFmtId="2" fontId="0" fillId="0" borderId="0" xfId="0" applyNumberFormat="1" applyAlignment="1" applyProtection="1">
      <alignment horizontal="center"/>
      <protection hidden="1"/>
    </xf>
    <xf numFmtId="0" fontId="16" fillId="0" borderId="0" xfId="0" applyFont="1" applyAlignment="1" applyProtection="1">
      <alignment horizontal="left"/>
      <protection locked="0"/>
    </xf>
    <xf numFmtId="14" fontId="0" fillId="0" borderId="0" xfId="0" applyNumberFormat="1" applyAlignment="1" applyProtection="1">
      <alignment horizontal="center"/>
      <protection locked="0" hidden="1"/>
    </xf>
    <xf numFmtId="0" fontId="1" fillId="7" borderId="35" xfId="0" applyFont="1" applyFill="1" applyBorder="1" applyAlignment="1" applyProtection="1">
      <alignment horizontal="center" vertical="top"/>
      <protection locked="0"/>
    </xf>
    <xf numFmtId="0" fontId="21" fillId="7" borderId="35" xfId="0" applyFont="1" applyFill="1" applyBorder="1" applyAlignment="1" applyProtection="1">
      <alignment horizontal="center" vertical="top"/>
      <protection locked="0"/>
    </xf>
    <xf numFmtId="1" fontId="24" fillId="0" borderId="0" xfId="0" applyNumberFormat="1" applyFont="1" applyAlignment="1" applyProtection="1">
      <alignment horizontal="center"/>
      <protection hidden="1"/>
    </xf>
    <xf numFmtId="166" fontId="1" fillId="7" borderId="86" xfId="0" applyNumberFormat="1" applyFont="1" applyFill="1" applyBorder="1" applyAlignment="1" applyProtection="1">
      <alignment horizontal="center"/>
      <protection hidden="1"/>
    </xf>
    <xf numFmtId="0" fontId="1" fillId="0" borderId="0" xfId="0" applyFont="1" applyAlignment="1" applyProtection="1">
      <alignment horizontal="center"/>
      <protection hidden="1"/>
    </xf>
    <xf numFmtId="16" fontId="21" fillId="0" borderId="0" xfId="0" applyNumberFormat="1" applyFont="1" applyAlignment="1">
      <alignment horizontal="center"/>
    </xf>
    <xf numFmtId="0" fontId="2" fillId="0" borderId="0" xfId="0" applyFont="1"/>
    <xf numFmtId="1" fontId="24" fillId="0" borderId="0" xfId="0" applyNumberFormat="1" applyFont="1" applyAlignment="1" applyProtection="1">
      <alignment horizontal="center"/>
      <protection locked="0" hidden="1"/>
    </xf>
    <xf numFmtId="14" fontId="4" fillId="0" borderId="0" xfId="0" quotePrefix="1" applyNumberFormat="1" applyFont="1" applyAlignment="1" applyProtection="1">
      <alignment horizontal="center"/>
      <protection locked="0"/>
    </xf>
    <xf numFmtId="169" fontId="34" fillId="0" borderId="0" xfId="0" applyNumberFormat="1" applyFont="1" applyAlignment="1" applyProtection="1">
      <alignment horizontal="center"/>
      <protection hidden="1"/>
    </xf>
    <xf numFmtId="0" fontId="2" fillId="0" borderId="0" xfId="0" applyFont="1" applyAlignment="1">
      <alignment vertical="top" wrapText="1"/>
    </xf>
    <xf numFmtId="0" fontId="2" fillId="0" borderId="0" xfId="0" applyFont="1" applyAlignment="1">
      <alignment horizontal="center"/>
    </xf>
    <xf numFmtId="14" fontId="2" fillId="0" borderId="0" xfId="0" applyNumberFormat="1" applyFont="1" applyAlignment="1">
      <alignment horizontal="center"/>
    </xf>
    <xf numFmtId="0" fontId="22" fillId="0" borderId="0" xfId="0" applyFont="1"/>
    <xf numFmtId="0" fontId="2" fillId="0" borderId="0" xfId="0" applyFont="1" applyAlignment="1">
      <alignment horizontal="left"/>
    </xf>
    <xf numFmtId="0" fontId="36" fillId="0" borderId="0" xfId="0" applyFont="1" applyAlignment="1">
      <alignment horizontal="center"/>
    </xf>
    <xf numFmtId="0" fontId="21" fillId="0" borderId="1" xfId="0" applyFont="1" applyBorder="1" applyAlignment="1">
      <alignment horizontal="left"/>
    </xf>
    <xf numFmtId="2" fontId="37" fillId="0" borderId="0" xfId="0" applyNumberFormat="1" applyFont="1" applyAlignment="1" applyProtection="1">
      <alignment horizontal="left"/>
      <protection locked="0"/>
    </xf>
    <xf numFmtId="0" fontId="22" fillId="0" borderId="1" xfId="0" applyFont="1" applyBorder="1" applyAlignment="1">
      <alignment horizontal="center"/>
    </xf>
    <xf numFmtId="0" fontId="22" fillId="0" borderId="1" xfId="0" applyFont="1" applyBorder="1"/>
    <xf numFmtId="0" fontId="2" fillId="0" borderId="1" xfId="0" applyFont="1" applyBorder="1" applyAlignment="1">
      <alignment horizontal="center"/>
    </xf>
    <xf numFmtId="0" fontId="2" fillId="0" borderId="0" xfId="0" applyFont="1" applyProtection="1">
      <protection hidden="1"/>
    </xf>
    <xf numFmtId="0" fontId="2" fillId="0" borderId="0" xfId="0" applyFont="1" applyAlignment="1" applyProtection="1">
      <alignment horizontal="center"/>
      <protection hidden="1"/>
    </xf>
    <xf numFmtId="0" fontId="38" fillId="0" borderId="0" xfId="0" applyFont="1" applyProtection="1">
      <protection hidden="1"/>
    </xf>
    <xf numFmtId="7" fontId="1" fillId="7" borderId="35" xfId="0" applyNumberFormat="1" applyFont="1" applyFill="1" applyBorder="1" applyAlignment="1" applyProtection="1">
      <alignment horizontal="center" vertical="top"/>
      <protection locked="0"/>
    </xf>
    <xf numFmtId="0" fontId="22" fillId="0" borderId="0" xfId="0" applyFont="1" applyProtection="1">
      <protection hidden="1"/>
    </xf>
    <xf numFmtId="0" fontId="22" fillId="0" borderId="0" xfId="0" applyFont="1" applyAlignment="1" applyProtection="1">
      <alignment horizontal="right"/>
      <protection hidden="1"/>
    </xf>
    <xf numFmtId="1" fontId="22" fillId="0" borderId="0" xfId="0" applyNumberFormat="1" applyFont="1" applyAlignment="1" applyProtection="1">
      <alignment horizontal="center"/>
      <protection hidden="1"/>
    </xf>
    <xf numFmtId="0" fontId="36" fillId="0" borderId="0" xfId="0" applyFont="1" applyProtection="1">
      <protection hidden="1"/>
    </xf>
    <xf numFmtId="4" fontId="2" fillId="0" borderId="0" xfId="0" applyNumberFormat="1" applyFont="1" applyAlignment="1" applyProtection="1">
      <alignment horizontal="left"/>
      <protection hidden="1"/>
    </xf>
    <xf numFmtId="4" fontId="2" fillId="0" borderId="0" xfId="0" applyNumberFormat="1" applyFont="1" applyAlignment="1" applyProtection="1">
      <alignment horizontal="center"/>
      <protection hidden="1"/>
    </xf>
    <xf numFmtId="0" fontId="39" fillId="0" borderId="1" xfId="0" applyFont="1" applyBorder="1" applyAlignment="1">
      <alignment horizontal="center"/>
    </xf>
    <xf numFmtId="14" fontId="22" fillId="0" borderId="0" xfId="0" applyNumberFormat="1" applyFont="1" applyAlignment="1" applyProtection="1">
      <alignment horizontal="center"/>
      <protection locked="0"/>
    </xf>
    <xf numFmtId="168" fontId="0" fillId="0" borderId="0" xfId="0" applyNumberFormat="1" applyAlignment="1">
      <alignment horizontal="center"/>
    </xf>
    <xf numFmtId="2" fontId="1" fillId="0" borderId="0" xfId="0" applyNumberFormat="1" applyFont="1" applyAlignment="1" applyProtection="1">
      <alignment horizontal="center"/>
      <protection locked="0" hidden="1"/>
    </xf>
    <xf numFmtId="4" fontId="2" fillId="0" borderId="0" xfId="0" applyNumberFormat="1" applyFont="1" applyProtection="1">
      <protection hidden="1"/>
    </xf>
    <xf numFmtId="0" fontId="2" fillId="0" borderId="0" xfId="0" applyFont="1" applyAlignment="1" applyProtection="1">
      <alignment horizontal="left"/>
      <protection hidden="1"/>
    </xf>
    <xf numFmtId="0" fontId="21" fillId="0" borderId="72" xfId="0" applyFont="1" applyBorder="1" applyProtection="1">
      <protection hidden="1"/>
    </xf>
    <xf numFmtId="8" fontId="4" fillId="0" borderId="0" xfId="0" applyNumberFormat="1" applyFont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center"/>
      <protection locked="0" hidden="1"/>
    </xf>
    <xf numFmtId="0" fontId="4" fillId="0" borderId="0" xfId="0" quotePrefix="1" applyFont="1" applyProtection="1">
      <protection locked="0"/>
    </xf>
    <xf numFmtId="0" fontId="0" fillId="0" borderId="0" xfId="0" quotePrefix="1" applyProtection="1">
      <protection locked="0"/>
    </xf>
    <xf numFmtId="0" fontId="16" fillId="0" borderId="60" xfId="0" applyFont="1" applyBorder="1" applyAlignment="1" applyProtection="1">
      <alignment horizontal="center"/>
      <protection locked="0" hidden="1"/>
    </xf>
    <xf numFmtId="0" fontId="21" fillId="0" borderId="0" xfId="0" applyFont="1"/>
    <xf numFmtId="7" fontId="4" fillId="0" borderId="0" xfId="0" applyNumberFormat="1" applyFont="1" applyProtection="1">
      <protection locked="0"/>
    </xf>
    <xf numFmtId="7" fontId="4" fillId="0" borderId="0" xfId="0" applyNumberFormat="1" applyFont="1" applyProtection="1">
      <protection hidden="1"/>
    </xf>
    <xf numFmtId="169" fontId="0" fillId="0" borderId="0" xfId="0" applyNumberFormat="1"/>
    <xf numFmtId="0" fontId="37" fillId="0" borderId="0" xfId="0" applyFont="1" applyAlignment="1" applyProtection="1">
      <alignment horizontal="center"/>
      <protection hidden="1"/>
    </xf>
    <xf numFmtId="7" fontId="0" fillId="0" borderId="0" xfId="0" applyNumberFormat="1" applyProtection="1">
      <protection hidden="1"/>
    </xf>
    <xf numFmtId="0" fontId="4" fillId="3" borderId="4" xfId="0" applyFont="1" applyFill="1" applyBorder="1" applyProtection="1">
      <protection hidden="1"/>
    </xf>
    <xf numFmtId="0" fontId="21" fillId="0" borderId="0" xfId="0" applyFont="1" applyProtection="1">
      <protection hidden="1"/>
    </xf>
    <xf numFmtId="17" fontId="16" fillId="0" borderId="1" xfId="0" applyNumberFormat="1" applyFont="1" applyBorder="1" applyAlignment="1">
      <alignment horizontal="center"/>
    </xf>
    <xf numFmtId="0" fontId="8" fillId="0" borderId="0" xfId="0" applyFont="1" applyProtection="1">
      <protection locked="0"/>
    </xf>
    <xf numFmtId="0" fontId="1" fillId="0" borderId="0" xfId="0" applyFont="1" applyProtection="1">
      <protection locked="0"/>
    </xf>
    <xf numFmtId="14" fontId="0" fillId="0" borderId="0" xfId="0" applyNumberFormat="1" applyAlignment="1" applyProtection="1">
      <alignment horizontal="center"/>
      <protection locked="0"/>
    </xf>
    <xf numFmtId="22" fontId="0" fillId="0" borderId="0" xfId="0" applyNumberFormat="1" applyAlignment="1" applyProtection="1">
      <alignment horizontal="center"/>
      <protection locked="0"/>
    </xf>
    <xf numFmtId="1" fontId="2" fillId="0" borderId="0" xfId="0" applyNumberFormat="1" applyFont="1" applyAlignment="1" applyProtection="1">
      <alignment horizontal="center"/>
      <protection hidden="1"/>
    </xf>
    <xf numFmtId="7" fontId="21" fillId="3" borderId="56" xfId="0" applyNumberFormat="1" applyFont="1" applyFill="1" applyBorder="1" applyProtection="1">
      <protection hidden="1"/>
    </xf>
    <xf numFmtId="0" fontId="21" fillId="0" borderId="57" xfId="0" applyFont="1" applyBorder="1" applyAlignment="1" applyProtection="1">
      <alignment horizontal="center"/>
      <protection hidden="1"/>
    </xf>
    <xf numFmtId="0" fontId="36" fillId="0" borderId="0" xfId="0" applyFont="1"/>
    <xf numFmtId="0" fontId="36" fillId="0" borderId="0" xfId="0" applyFont="1" applyAlignment="1">
      <alignment horizontal="left"/>
    </xf>
    <xf numFmtId="0" fontId="1" fillId="0" borderId="0" xfId="0" applyFont="1" applyAlignment="1" applyProtection="1">
      <alignment horizontal="left"/>
      <protection hidden="1"/>
    </xf>
    <xf numFmtId="0" fontId="0" fillId="0" borderId="2" xfId="0" quotePrefix="1" applyBorder="1" applyAlignment="1" applyProtection="1">
      <alignment horizontal="left"/>
      <protection hidden="1"/>
    </xf>
    <xf numFmtId="17" fontId="0" fillId="0" borderId="1" xfId="0" applyNumberFormat="1" applyBorder="1" applyProtection="1">
      <protection hidden="1"/>
    </xf>
    <xf numFmtId="17" fontId="0" fillId="8" borderId="34" xfId="0" applyNumberFormat="1" applyFill="1" applyBorder="1" applyProtection="1">
      <protection hidden="1"/>
    </xf>
    <xf numFmtId="0" fontId="0" fillId="2" borderId="2" xfId="0" applyFill="1" applyBorder="1" applyProtection="1">
      <protection hidden="1"/>
    </xf>
    <xf numFmtId="165" fontId="0" fillId="0" borderId="1" xfId="0" applyNumberFormat="1" applyBorder="1" applyProtection="1">
      <protection hidden="1"/>
    </xf>
    <xf numFmtId="165" fontId="0" fillId="8" borderId="34" xfId="0" applyNumberFormat="1" applyFill="1" applyBorder="1" applyProtection="1">
      <protection hidden="1"/>
    </xf>
    <xf numFmtId="0" fontId="4" fillId="0" borderId="2" xfId="0" quotePrefix="1" applyFont="1" applyBorder="1" applyAlignment="1" applyProtection="1">
      <alignment horizontal="left"/>
      <protection hidden="1"/>
    </xf>
    <xf numFmtId="0" fontId="4" fillId="2" borderId="2" xfId="0" quotePrefix="1" applyFont="1" applyFill="1" applyBorder="1" applyProtection="1">
      <protection hidden="1"/>
    </xf>
    <xf numFmtId="0" fontId="0" fillId="0" borderId="4" xfId="0" quotePrefix="1" applyBorder="1" applyAlignment="1" applyProtection="1">
      <alignment horizontal="left"/>
      <protection hidden="1"/>
    </xf>
    <xf numFmtId="0" fontId="27" fillId="7" borderId="93" xfId="0" applyFont="1" applyFill="1" applyBorder="1" applyAlignment="1" applyProtection="1">
      <alignment horizontal="left"/>
      <protection hidden="1"/>
    </xf>
    <xf numFmtId="49" fontId="4" fillId="7" borderId="93" xfId="0" applyNumberFormat="1" applyFont="1" applyFill="1" applyBorder="1" applyAlignment="1" applyProtection="1">
      <alignment horizontal="left"/>
      <protection hidden="1"/>
    </xf>
    <xf numFmtId="167" fontId="0" fillId="0" borderId="1" xfId="0" applyNumberFormat="1" applyBorder="1" applyProtection="1">
      <protection hidden="1"/>
    </xf>
    <xf numFmtId="0" fontId="0" fillId="0" borderId="16" xfId="0" applyBorder="1" applyProtection="1">
      <protection hidden="1"/>
    </xf>
    <xf numFmtId="0" fontId="0" fillId="0" borderId="2" xfId="0" applyBorder="1" applyAlignment="1" applyProtection="1">
      <alignment horizontal="left"/>
      <protection hidden="1"/>
    </xf>
    <xf numFmtId="0" fontId="4" fillId="0" borderId="2" xfId="0" applyFont="1" applyBorder="1" applyProtection="1">
      <protection hidden="1"/>
    </xf>
    <xf numFmtId="0" fontId="16" fillId="1" borderId="0" xfId="0" applyFont="1" applyFill="1" applyProtection="1">
      <protection hidden="1"/>
    </xf>
    <xf numFmtId="0" fontId="0" fillId="8" borderId="28" xfId="0" applyFill="1" applyBorder="1" applyProtection="1">
      <protection hidden="1"/>
    </xf>
    <xf numFmtId="0" fontId="18" fillId="16" borderId="16" xfId="0" applyFont="1" applyFill="1" applyBorder="1" applyProtection="1">
      <protection hidden="1"/>
    </xf>
    <xf numFmtId="0" fontId="27" fillId="0" borderId="35" xfId="0" applyFont="1" applyBorder="1" applyAlignment="1" applyProtection="1">
      <alignment horizontal="left"/>
      <protection hidden="1"/>
    </xf>
    <xf numFmtId="0" fontId="0" fillId="3" borderId="16" xfId="0" applyFill="1" applyBorder="1" applyProtection="1">
      <protection hidden="1"/>
    </xf>
    <xf numFmtId="0" fontId="0" fillId="3" borderId="11" xfId="0" applyFill="1" applyBorder="1" applyProtection="1">
      <protection hidden="1"/>
    </xf>
    <xf numFmtId="0" fontId="0" fillId="3" borderId="34" xfId="0" applyFill="1" applyBorder="1" applyProtection="1">
      <protection hidden="1"/>
    </xf>
    <xf numFmtId="0" fontId="0" fillId="3" borderId="57" xfId="0" applyFill="1" applyBorder="1" applyProtection="1">
      <protection hidden="1"/>
    </xf>
    <xf numFmtId="5" fontId="0" fillId="0" borderId="0" xfId="0" applyNumberFormat="1" applyProtection="1">
      <protection hidden="1"/>
    </xf>
    <xf numFmtId="0" fontId="4" fillId="15" borderId="0" xfId="0" applyFont="1" applyFill="1" applyAlignment="1" applyProtection="1">
      <alignment horizontal="left"/>
      <protection hidden="1"/>
    </xf>
    <xf numFmtId="1" fontId="0" fillId="0" borderId="0" xfId="0" applyNumberFormat="1" applyAlignment="1" applyProtection="1">
      <alignment horizontal="center"/>
      <protection hidden="1"/>
    </xf>
    <xf numFmtId="1" fontId="0" fillId="0" borderId="0" xfId="0" applyNumberFormat="1" applyProtection="1">
      <protection hidden="1"/>
    </xf>
    <xf numFmtId="14" fontId="0" fillId="0" borderId="0" xfId="0" applyNumberFormat="1" applyProtection="1">
      <protection hidden="1"/>
    </xf>
    <xf numFmtId="1" fontId="0" fillId="9" borderId="35" xfId="0" applyNumberFormat="1" applyFill="1" applyBorder="1" applyAlignment="1" applyProtection="1">
      <alignment horizontal="center"/>
      <protection locked="0" hidden="1"/>
    </xf>
    <xf numFmtId="1" fontId="0" fillId="1" borderId="0" xfId="0" applyNumberFormat="1" applyFill="1" applyAlignment="1" applyProtection="1">
      <alignment horizontal="center"/>
      <protection locked="0" hidden="1"/>
    </xf>
    <xf numFmtId="0" fontId="0" fillId="1" borderId="0" xfId="0" applyFill="1" applyProtection="1">
      <protection locked="0" hidden="1"/>
    </xf>
    <xf numFmtId="0" fontId="0" fillId="0" borderId="2" xfId="0" applyBorder="1" applyAlignment="1" applyProtection="1">
      <alignment horizontal="centerContinuous"/>
      <protection locked="0" hidden="1"/>
    </xf>
    <xf numFmtId="17" fontId="0" fillId="1" borderId="0" xfId="0" applyNumberFormat="1" applyFill="1" applyAlignment="1" applyProtection="1">
      <alignment horizontal="center"/>
      <protection locked="0" hidden="1"/>
    </xf>
    <xf numFmtId="0" fontId="0" fillId="3" borderId="16" xfId="0" applyFill="1" applyBorder="1" applyAlignment="1" applyProtection="1">
      <alignment horizontal="left"/>
      <protection locked="0" hidden="1"/>
    </xf>
    <xf numFmtId="0" fontId="1" fillId="1" borderId="4" xfId="0" applyFont="1" applyFill="1" applyBorder="1" applyAlignment="1" applyProtection="1">
      <alignment horizontal="centerContinuous"/>
      <protection locked="0" hidden="1"/>
    </xf>
    <xf numFmtId="0" fontId="1" fillId="1" borderId="0" xfId="0" applyFont="1" applyFill="1" applyAlignment="1" applyProtection="1">
      <alignment horizontal="centerContinuous"/>
      <protection locked="0" hidden="1"/>
    </xf>
    <xf numFmtId="0" fontId="1" fillId="1" borderId="5" xfId="0" applyFont="1" applyFill="1" applyBorder="1" applyAlignment="1" applyProtection="1">
      <alignment horizontal="centerContinuous"/>
      <protection locked="0" hidden="1"/>
    </xf>
    <xf numFmtId="0" fontId="0" fillId="3" borderId="4" xfId="0" applyFill="1" applyBorder="1" applyAlignment="1" applyProtection="1">
      <alignment horizontal="left"/>
      <protection locked="0" hidden="1"/>
    </xf>
    <xf numFmtId="0" fontId="0" fillId="3" borderId="7" xfId="0" applyFill="1" applyBorder="1" applyAlignment="1" applyProtection="1">
      <alignment horizontal="center"/>
      <protection locked="0" hidden="1"/>
    </xf>
    <xf numFmtId="1" fontId="0" fillId="7" borderId="35" xfId="0" applyNumberFormat="1" applyFill="1" applyBorder="1" applyAlignment="1" applyProtection="1">
      <alignment horizontal="center"/>
      <protection locked="0" hidden="1"/>
    </xf>
    <xf numFmtId="0" fontId="0" fillId="0" borderId="7" xfId="0" applyBorder="1" applyAlignment="1" applyProtection="1">
      <alignment horizontal="center"/>
      <protection locked="0" hidden="1"/>
    </xf>
    <xf numFmtId="1" fontId="0" fillId="0" borderId="8" xfId="0" applyNumberFormat="1" applyBorder="1" applyAlignment="1" applyProtection="1">
      <alignment horizontal="center"/>
      <protection locked="0" hidden="1"/>
    </xf>
    <xf numFmtId="0" fontId="0" fillId="0" borderId="4" xfId="0" quotePrefix="1" applyBorder="1" applyAlignment="1" applyProtection="1">
      <alignment horizontal="left"/>
      <protection locked="0" hidden="1"/>
    </xf>
    <xf numFmtId="0" fontId="0" fillId="0" borderId="5" xfId="0" applyBorder="1" applyProtection="1">
      <protection locked="0" hidden="1"/>
    </xf>
    <xf numFmtId="0" fontId="0" fillId="0" borderId="74" xfId="0" applyBorder="1" applyProtection="1">
      <protection locked="0" hidden="1"/>
    </xf>
    <xf numFmtId="0" fontId="21" fillId="13" borderId="35" xfId="0" applyFont="1" applyFill="1" applyBorder="1" applyAlignment="1" applyProtection="1">
      <alignment horizontal="center"/>
      <protection locked="0" hidden="1"/>
    </xf>
    <xf numFmtId="0" fontId="0" fillId="0" borderId="26" xfId="0" applyBorder="1" applyProtection="1">
      <protection locked="0" hidden="1"/>
    </xf>
    <xf numFmtId="0" fontId="0" fillId="0" borderId="55" xfId="0" applyBorder="1" applyProtection="1">
      <protection locked="0" hidden="1"/>
    </xf>
    <xf numFmtId="0" fontId="0" fillId="0" borderId="94" xfId="0" applyBorder="1" applyProtection="1">
      <protection locked="0" hidden="1"/>
    </xf>
    <xf numFmtId="49" fontId="0" fillId="7" borderId="93" xfId="0" applyNumberFormat="1" applyFill="1" applyBorder="1" applyAlignment="1" applyProtection="1">
      <alignment horizontal="center"/>
      <protection locked="0" hidden="1"/>
    </xf>
    <xf numFmtId="0" fontId="4" fillId="0" borderId="0" xfId="0" applyFont="1" applyProtection="1">
      <protection locked="0" hidden="1"/>
    </xf>
    <xf numFmtId="0" fontId="38" fillId="0" borderId="0" xfId="0" applyFont="1" applyProtection="1">
      <protection locked="0" hidden="1"/>
    </xf>
    <xf numFmtId="0" fontId="1" fillId="5" borderId="29" xfId="0" applyFont="1" applyFill="1" applyBorder="1" applyProtection="1">
      <protection locked="0" hidden="1"/>
    </xf>
    <xf numFmtId="0" fontId="1" fillId="5" borderId="30" xfId="0" applyFont="1" applyFill="1" applyBorder="1" applyProtection="1">
      <protection locked="0" hidden="1"/>
    </xf>
    <xf numFmtId="0" fontId="4" fillId="5" borderId="24" xfId="0" applyFont="1" applyFill="1" applyBorder="1" applyAlignment="1" applyProtection="1">
      <alignment horizontal="center"/>
      <protection locked="0" hidden="1"/>
    </xf>
    <xf numFmtId="0" fontId="1" fillId="0" borderId="104" xfId="0" applyFont="1" applyBorder="1" applyAlignment="1" applyProtection="1">
      <alignment horizontal="center"/>
      <protection locked="0" hidden="1"/>
    </xf>
    <xf numFmtId="7" fontId="3" fillId="7" borderId="35" xfId="0" applyNumberFormat="1" applyFont="1" applyFill="1" applyBorder="1" applyProtection="1">
      <protection locked="0" hidden="1"/>
    </xf>
    <xf numFmtId="7" fontId="3" fillId="7" borderId="35" xfId="0" applyNumberFormat="1" applyFont="1" applyFill="1" applyBorder="1" applyAlignment="1" applyProtection="1">
      <alignment horizontal="center"/>
      <protection locked="0" hidden="1"/>
    </xf>
    <xf numFmtId="7" fontId="0" fillId="7" borderId="35" xfId="0" applyNumberFormat="1" applyFill="1" applyBorder="1" applyProtection="1">
      <protection locked="0" hidden="1"/>
    </xf>
    <xf numFmtId="7" fontId="0" fillId="5" borderId="45" xfId="0" applyNumberFormat="1" applyFill="1" applyBorder="1" applyAlignment="1" applyProtection="1">
      <alignment horizontal="center"/>
      <protection locked="0" hidden="1"/>
    </xf>
    <xf numFmtId="7" fontId="4" fillId="0" borderId="105" xfId="0" applyNumberFormat="1" applyFont="1" applyBorder="1" applyProtection="1">
      <protection locked="0" hidden="1"/>
    </xf>
    <xf numFmtId="7" fontId="4" fillId="5" borderId="46" xfId="0" applyNumberFormat="1" applyFont="1" applyFill="1" applyBorder="1" applyAlignment="1" applyProtection="1">
      <alignment horizontal="center"/>
      <protection locked="0" hidden="1"/>
    </xf>
    <xf numFmtId="7" fontId="4" fillId="0" borderId="58" xfId="0" applyNumberFormat="1" applyFont="1" applyBorder="1" applyProtection="1">
      <protection locked="0" hidden="1"/>
    </xf>
    <xf numFmtId="166" fontId="0" fillId="7" borderId="35" xfId="0" applyNumberFormat="1" applyFill="1" applyBorder="1" applyProtection="1">
      <protection locked="0" hidden="1"/>
    </xf>
    <xf numFmtId="7" fontId="0" fillId="0" borderId="106" xfId="0" applyNumberFormat="1" applyBorder="1" applyProtection="1">
      <protection locked="0" hidden="1"/>
    </xf>
    <xf numFmtId="7" fontId="4" fillId="5" borderId="45" xfId="0" applyNumberFormat="1" applyFont="1" applyFill="1" applyBorder="1" applyAlignment="1" applyProtection="1">
      <alignment horizontal="center"/>
      <protection locked="0" hidden="1"/>
    </xf>
    <xf numFmtId="7" fontId="0" fillId="0" borderId="58" xfId="0" applyNumberFormat="1" applyBorder="1" applyProtection="1">
      <protection locked="0" hidden="1"/>
    </xf>
    <xf numFmtId="7" fontId="1" fillId="5" borderId="46" xfId="0" applyNumberFormat="1" applyFont="1" applyFill="1" applyBorder="1" applyAlignment="1" applyProtection="1">
      <alignment horizontal="center"/>
      <protection locked="0" hidden="1"/>
    </xf>
    <xf numFmtId="7" fontId="0" fillId="5" borderId="45" xfId="0" applyNumberFormat="1" applyFill="1" applyBorder="1" applyProtection="1">
      <protection locked="0" hidden="1"/>
    </xf>
    <xf numFmtId="5" fontId="0" fillId="1" borderId="0" xfId="0" applyNumberFormat="1" applyFill="1" applyProtection="1">
      <protection locked="0" hidden="1"/>
    </xf>
    <xf numFmtId="0" fontId="0" fillId="1" borderId="47" xfId="0" applyFill="1" applyBorder="1" applyProtection="1">
      <protection locked="0" hidden="1"/>
    </xf>
    <xf numFmtId="7" fontId="1" fillId="1" borderId="58" xfId="0" applyNumberFormat="1" applyFont="1" applyFill="1" applyBorder="1" applyAlignment="1" applyProtection="1">
      <alignment horizontal="center" vertical="center"/>
      <protection locked="0" hidden="1"/>
    </xf>
    <xf numFmtId="7" fontId="0" fillId="17" borderId="35" xfId="0" applyNumberFormat="1" applyFill="1" applyBorder="1" applyProtection="1">
      <protection locked="0" hidden="1"/>
    </xf>
    <xf numFmtId="7" fontId="7" fillId="5" borderId="48" xfId="0" applyNumberFormat="1" applyFont="1" applyFill="1" applyBorder="1" applyAlignment="1" applyProtection="1">
      <alignment horizontal="center"/>
      <protection locked="0" hidden="1"/>
    </xf>
    <xf numFmtId="7" fontId="0" fillId="7" borderId="35" xfId="0" applyNumberFormat="1" applyFill="1" applyBorder="1" applyAlignment="1" applyProtection="1">
      <alignment horizontal="center"/>
      <protection locked="0" hidden="1"/>
    </xf>
    <xf numFmtId="7" fontId="7" fillId="5" borderId="46" xfId="0" applyNumberFormat="1" applyFont="1" applyFill="1" applyBorder="1" applyAlignment="1" applyProtection="1">
      <alignment horizontal="center"/>
      <protection locked="0" hidden="1"/>
    </xf>
    <xf numFmtId="7" fontId="0" fillId="3" borderId="35" xfId="0" applyNumberFormat="1" applyFill="1" applyBorder="1" applyProtection="1">
      <protection locked="0" hidden="1"/>
    </xf>
    <xf numFmtId="169" fontId="0" fillId="3" borderId="35" xfId="0" applyNumberFormat="1" applyFill="1" applyBorder="1" applyProtection="1">
      <protection locked="0" hidden="1"/>
    </xf>
    <xf numFmtId="3" fontId="0" fillId="7" borderId="35" xfId="0" applyNumberFormat="1" applyFill="1" applyBorder="1" applyAlignment="1" applyProtection="1">
      <alignment horizontal="center"/>
      <protection locked="0" hidden="1"/>
    </xf>
    <xf numFmtId="1" fontId="0" fillId="8" borderId="31" xfId="0" applyNumberFormat="1" applyFill="1" applyBorder="1" applyAlignment="1" applyProtection="1">
      <alignment horizontal="right"/>
      <protection locked="0" hidden="1"/>
    </xf>
    <xf numFmtId="7" fontId="0" fillId="8" borderId="51" xfId="0" applyNumberFormat="1" applyFill="1" applyBorder="1" applyAlignment="1" applyProtection="1">
      <alignment horizontal="right"/>
      <protection locked="0" hidden="1"/>
    </xf>
    <xf numFmtId="167" fontId="0" fillId="9" borderId="52" xfId="0" applyNumberFormat="1" applyFill="1" applyBorder="1" applyAlignment="1" applyProtection="1">
      <alignment horizontal="center"/>
      <protection locked="0" hidden="1"/>
    </xf>
    <xf numFmtId="7" fontId="0" fillId="8" borderId="108" xfId="0" applyNumberFormat="1" applyFill="1" applyBorder="1" applyAlignment="1" applyProtection="1">
      <alignment horizontal="right"/>
      <protection locked="0" hidden="1"/>
    </xf>
    <xf numFmtId="166" fontId="0" fillId="8" borderId="81" xfId="0" quotePrefix="1" applyNumberFormat="1" applyFill="1" applyBorder="1" applyProtection="1">
      <protection locked="0" hidden="1"/>
    </xf>
    <xf numFmtId="7" fontId="0" fillId="7" borderId="82" xfId="0" applyNumberFormat="1" applyFill="1" applyBorder="1" applyProtection="1">
      <protection locked="0" hidden="1"/>
    </xf>
    <xf numFmtId="7" fontId="4" fillId="7" borderId="35" xfId="0" applyNumberFormat="1" applyFont="1" applyFill="1" applyBorder="1" applyAlignment="1" applyProtection="1">
      <alignment horizontal="center"/>
      <protection locked="0" hidden="1"/>
    </xf>
    <xf numFmtId="7" fontId="16" fillId="7" borderId="35" xfId="0" applyNumberFormat="1" applyFont="1" applyFill="1" applyBorder="1" applyAlignment="1" applyProtection="1">
      <alignment horizontal="center"/>
      <protection locked="0" hidden="1"/>
    </xf>
    <xf numFmtId="7" fontId="0" fillId="7" borderId="35" xfId="0" quotePrefix="1" applyNumberFormat="1" applyFill="1" applyBorder="1" applyAlignment="1" applyProtection="1">
      <alignment horizontal="left"/>
      <protection locked="0" hidden="1"/>
    </xf>
    <xf numFmtId="7" fontId="4" fillId="0" borderId="58" xfId="1" applyNumberFormat="1" applyFont="1" applyBorder="1" applyAlignment="1" applyProtection="1">
      <alignment horizontal="center"/>
      <protection locked="0" hidden="1"/>
    </xf>
    <xf numFmtId="5" fontId="0" fillId="5" borderId="31" xfId="0" applyNumberFormat="1" applyFill="1" applyBorder="1" applyAlignment="1" applyProtection="1">
      <alignment horizontal="centerContinuous"/>
      <protection locked="0" hidden="1"/>
    </xf>
    <xf numFmtId="5" fontId="0" fillId="5" borderId="32" xfId="0" applyNumberFormat="1" applyFill="1" applyBorder="1" applyAlignment="1" applyProtection="1">
      <alignment horizontal="centerContinuous"/>
      <protection locked="0" hidden="1"/>
    </xf>
    <xf numFmtId="0" fontId="0" fillId="5" borderId="32" xfId="0" applyFill="1" applyBorder="1" applyAlignment="1" applyProtection="1">
      <alignment horizontal="centerContinuous"/>
      <protection locked="0" hidden="1"/>
    </xf>
    <xf numFmtId="0" fontId="0" fillId="5" borderId="25" xfId="0" applyFill="1" applyBorder="1" applyAlignment="1" applyProtection="1">
      <alignment horizontal="centerContinuous"/>
      <protection locked="0" hidden="1"/>
    </xf>
    <xf numFmtId="0" fontId="4" fillId="1" borderId="0" xfId="0" applyFont="1" applyFill="1" applyProtection="1">
      <protection locked="0" hidden="1"/>
    </xf>
    <xf numFmtId="5" fontId="0" fillId="0" borderId="0" xfId="0" applyNumberFormat="1" applyProtection="1">
      <protection locked="0" hidden="1"/>
    </xf>
    <xf numFmtId="0" fontId="0" fillId="15" borderId="0" xfId="0" applyFill="1" applyProtection="1">
      <protection locked="0" hidden="1"/>
    </xf>
    <xf numFmtId="169" fontId="0" fillId="0" borderId="0" xfId="0" applyNumberFormat="1" applyProtection="1">
      <protection locked="0" hidden="1"/>
    </xf>
    <xf numFmtId="4" fontId="16" fillId="0" borderId="0" xfId="0" applyNumberFormat="1" applyFont="1" applyProtection="1">
      <protection locked="0" hidden="1"/>
    </xf>
    <xf numFmtId="7" fontId="0" fillId="0" borderId="101" xfId="0" applyNumberFormat="1" applyBorder="1" applyAlignment="1" applyProtection="1">
      <alignment horizontal="center"/>
      <protection locked="0" hidden="1"/>
    </xf>
    <xf numFmtId="0" fontId="22" fillId="0" borderId="0" xfId="0" applyFont="1" applyAlignment="1">
      <alignment vertical="center"/>
    </xf>
    <xf numFmtId="0" fontId="2" fillId="0" borderId="0" xfId="0" applyFont="1" applyAlignment="1" applyProtection="1">
      <alignment horizontal="center"/>
      <protection locked="0"/>
    </xf>
    <xf numFmtId="7" fontId="3" fillId="7" borderId="35" xfId="0" applyNumberFormat="1" applyFont="1" applyFill="1" applyBorder="1" applyAlignment="1" applyProtection="1">
      <alignment horizontal="center"/>
      <protection hidden="1"/>
    </xf>
    <xf numFmtId="1" fontId="4" fillId="0" borderId="0" xfId="0" applyNumberFormat="1" applyFont="1" applyAlignment="1" applyProtection="1">
      <alignment horizontal="center"/>
      <protection hidden="1"/>
    </xf>
    <xf numFmtId="0" fontId="0" fillId="0" borderId="0" xfId="0" applyAlignment="1">
      <alignment horizontal="right"/>
    </xf>
    <xf numFmtId="4" fontId="21" fillId="0" borderId="1" xfId="0" applyNumberFormat="1" applyFont="1" applyBorder="1" applyAlignment="1" applyProtection="1">
      <alignment horizontal="right"/>
      <protection hidden="1"/>
    </xf>
    <xf numFmtId="2" fontId="2" fillId="0" borderId="0" xfId="0" applyNumberFormat="1" applyFont="1" applyAlignment="1" applyProtection="1">
      <alignment horizontal="center"/>
      <protection hidden="1"/>
    </xf>
    <xf numFmtId="0" fontId="1" fillId="0" borderId="1" xfId="0" applyFont="1" applyBorder="1" applyProtection="1">
      <protection hidden="1"/>
    </xf>
    <xf numFmtId="1" fontId="16" fillId="1" borderId="0" xfId="0" applyNumberFormat="1" applyFont="1" applyFill="1" applyAlignment="1" applyProtection="1">
      <alignment horizontal="center"/>
      <protection hidden="1"/>
    </xf>
    <xf numFmtId="44" fontId="0" fillId="7" borderId="35" xfId="0" applyNumberFormat="1" applyFill="1" applyBorder="1" applyProtection="1">
      <protection hidden="1"/>
    </xf>
    <xf numFmtId="17" fontId="4" fillId="9" borderId="35" xfId="0" applyNumberFormat="1" applyFont="1" applyFill="1" applyBorder="1" applyAlignment="1" applyProtection="1">
      <alignment horizontal="center"/>
      <protection locked="0"/>
    </xf>
    <xf numFmtId="0" fontId="21" fillId="0" borderId="19" xfId="0" applyFont="1" applyBorder="1" applyAlignment="1" applyProtection="1">
      <alignment horizontal="centerContinuous"/>
      <protection hidden="1"/>
    </xf>
    <xf numFmtId="166" fontId="16" fillId="3" borderId="1" xfId="0" applyNumberFormat="1" applyFont="1" applyFill="1" applyBorder="1" applyProtection="1">
      <protection hidden="1"/>
    </xf>
    <xf numFmtId="4" fontId="21" fillId="0" borderId="43" xfId="0" applyNumberFormat="1" applyFont="1" applyBorder="1" applyAlignment="1" applyProtection="1">
      <alignment horizontal="center"/>
      <protection hidden="1"/>
    </xf>
    <xf numFmtId="166" fontId="16" fillId="0" borderId="3" xfId="0" applyNumberFormat="1" applyFont="1" applyBorder="1" applyProtection="1">
      <protection hidden="1"/>
    </xf>
    <xf numFmtId="0" fontId="16" fillId="0" borderId="7" xfId="0" applyFont="1" applyBorder="1" applyAlignment="1" applyProtection="1">
      <alignment horizontal="right"/>
      <protection hidden="1"/>
    </xf>
    <xf numFmtId="2" fontId="16" fillId="0" borderId="0" xfId="0" applyNumberFormat="1" applyFont="1" applyProtection="1">
      <protection locked="0"/>
    </xf>
    <xf numFmtId="2" fontId="2" fillId="0" borderId="0" xfId="0" applyNumberFormat="1" applyFont="1"/>
    <xf numFmtId="2" fontId="2" fillId="0" borderId="0" xfId="0" applyNumberFormat="1" applyFont="1" applyProtection="1">
      <protection hidden="1"/>
    </xf>
    <xf numFmtId="0" fontId="2" fillId="0" borderId="0" xfId="0" applyFont="1" applyProtection="1">
      <protection locked="0"/>
    </xf>
    <xf numFmtId="0" fontId="4" fillId="0" borderId="0" xfId="0" applyFont="1" applyAlignment="1" applyProtection="1">
      <alignment horizontal="center"/>
      <protection locked="0" hidden="1"/>
    </xf>
    <xf numFmtId="7" fontId="1" fillId="0" borderId="5" xfId="0" applyNumberFormat="1" applyFont="1" applyBorder="1" applyProtection="1">
      <protection hidden="1"/>
    </xf>
    <xf numFmtId="0" fontId="0" fillId="0" borderId="120" xfId="0" applyBorder="1" applyProtection="1">
      <protection hidden="1"/>
    </xf>
    <xf numFmtId="7" fontId="0" fillId="0" borderId="121" xfId="0" applyNumberFormat="1" applyBorder="1" applyAlignment="1" applyProtection="1">
      <alignment horizontal="center"/>
      <protection hidden="1"/>
    </xf>
    <xf numFmtId="7" fontId="16" fillId="0" borderId="73" xfId="0" applyNumberFormat="1" applyFont="1" applyBorder="1" applyProtection="1">
      <protection hidden="1"/>
    </xf>
    <xf numFmtId="0" fontId="21" fillId="0" borderId="73" xfId="0" applyFont="1" applyBorder="1" applyProtection="1">
      <protection hidden="1"/>
    </xf>
    <xf numFmtId="0" fontId="4" fillId="0" borderId="72" xfId="0" applyFont="1" applyBorder="1" applyProtection="1">
      <protection hidden="1"/>
    </xf>
    <xf numFmtId="7" fontId="16" fillId="0" borderId="57" xfId="0" applyNumberFormat="1" applyFont="1" applyBorder="1" applyProtection="1">
      <protection hidden="1"/>
    </xf>
    <xf numFmtId="0" fontId="16" fillId="0" borderId="72" xfId="0" applyFont="1" applyBorder="1" applyProtection="1">
      <protection hidden="1"/>
    </xf>
    <xf numFmtId="0" fontId="16" fillId="0" borderId="13" xfId="0" applyFont="1" applyBorder="1" applyAlignment="1" applyProtection="1">
      <alignment horizontal="centerContinuous"/>
      <protection hidden="1"/>
    </xf>
    <xf numFmtId="7" fontId="21" fillId="3" borderId="56" xfId="0" applyNumberFormat="1" applyFont="1" applyFill="1" applyBorder="1" applyAlignment="1" applyProtection="1">
      <alignment horizontal="center"/>
      <protection hidden="1"/>
    </xf>
    <xf numFmtId="17" fontId="21" fillId="0" borderId="1" xfId="0" applyNumberFormat="1" applyFont="1" applyBorder="1" applyAlignment="1">
      <alignment horizontal="center"/>
    </xf>
    <xf numFmtId="7" fontId="16" fillId="0" borderId="80" xfId="0" applyNumberFormat="1" applyFont="1" applyBorder="1" applyProtection="1">
      <protection hidden="1"/>
    </xf>
    <xf numFmtId="168" fontId="0" fillId="0" borderId="0" xfId="0" applyNumberFormat="1" applyAlignment="1" applyProtection="1">
      <alignment horizontal="center"/>
      <protection locked="0" hidden="1"/>
    </xf>
    <xf numFmtId="44" fontId="16" fillId="0" borderId="57" xfId="0" applyNumberFormat="1" applyFont="1" applyBorder="1" applyProtection="1">
      <protection hidden="1"/>
    </xf>
    <xf numFmtId="169" fontId="0" fillId="0" borderId="0" xfId="0" applyNumberFormat="1" applyAlignment="1" applyProtection="1">
      <alignment horizontal="center"/>
      <protection locked="0"/>
    </xf>
    <xf numFmtId="168" fontId="16" fillId="0" borderId="0" xfId="0" applyNumberFormat="1" applyFont="1" applyAlignment="1" applyProtection="1">
      <alignment horizontal="center"/>
      <protection locked="0" hidden="1"/>
    </xf>
    <xf numFmtId="1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right"/>
    </xf>
    <xf numFmtId="39" fontId="4" fillId="0" borderId="0" xfId="0" applyNumberFormat="1" applyFont="1" applyAlignment="1" applyProtection="1">
      <alignment horizontal="center"/>
      <protection hidden="1"/>
    </xf>
    <xf numFmtId="0" fontId="10" fillId="0" borderId="0" xfId="0" applyFont="1" applyAlignment="1" applyProtection="1">
      <alignment horizontal="center"/>
      <protection locked="0"/>
    </xf>
    <xf numFmtId="5" fontId="16" fillId="2" borderId="1" xfId="0" applyNumberFormat="1" applyFont="1" applyFill="1" applyBorder="1"/>
    <xf numFmtId="17" fontId="0" fillId="0" borderId="0" xfId="0" applyNumberFormat="1"/>
    <xf numFmtId="168" fontId="24" fillId="0" borderId="0" xfId="0" applyNumberFormat="1" applyFont="1" applyAlignment="1" applyProtection="1">
      <alignment horizontal="center"/>
      <protection hidden="1"/>
    </xf>
    <xf numFmtId="0" fontId="21" fillId="0" borderId="0" xfId="0" applyFont="1" applyProtection="1">
      <protection locked="0"/>
    </xf>
    <xf numFmtId="169" fontId="1" fillId="0" borderId="0" xfId="0" applyNumberFormat="1" applyFont="1" applyAlignment="1" applyProtection="1">
      <alignment horizontal="center"/>
      <protection hidden="1"/>
    </xf>
    <xf numFmtId="0" fontId="40" fillId="20" borderId="35" xfId="2" applyBorder="1"/>
    <xf numFmtId="4" fontId="0" fillId="0" borderId="0" xfId="0" applyNumberFormat="1"/>
    <xf numFmtId="4" fontId="0" fillId="0" borderId="0" xfId="0" applyNumberFormat="1" applyAlignment="1">
      <alignment horizontal="right"/>
    </xf>
    <xf numFmtId="1" fontId="0" fillId="0" borderId="0" xfId="0" applyNumberFormat="1" applyAlignment="1">
      <alignment horizontal="left"/>
    </xf>
    <xf numFmtId="7" fontId="0" fillId="0" borderId="0" xfId="0" applyNumberFormat="1"/>
    <xf numFmtId="37" fontId="0" fillId="0" borderId="0" xfId="0" applyNumberFormat="1" applyAlignment="1">
      <alignment horizontal="center"/>
    </xf>
    <xf numFmtId="5" fontId="4" fillId="2" borderId="1" xfId="0" applyNumberFormat="1" applyFont="1" applyFill="1" applyBorder="1"/>
    <xf numFmtId="17" fontId="21" fillId="0" borderId="1" xfId="0" applyNumberFormat="1" applyFont="1" applyBorder="1" applyAlignment="1">
      <alignment horizontal="center" vertical="center"/>
    </xf>
    <xf numFmtId="5" fontId="21" fillId="2" borderId="1" xfId="0" applyNumberFormat="1" applyFont="1" applyFill="1" applyBorder="1" applyAlignment="1">
      <alignment horizontal="center" vertical="center"/>
    </xf>
    <xf numFmtId="5" fontId="4" fillId="2" borderId="1" xfId="0" applyNumberFormat="1" applyFont="1" applyFill="1" applyBorder="1" applyAlignment="1">
      <alignment horizontal="center" vertical="center"/>
    </xf>
    <xf numFmtId="5" fontId="1" fillId="2" borderId="54" xfId="0" applyNumberFormat="1" applyFont="1" applyFill="1" applyBorder="1" applyAlignment="1">
      <alignment horizontal="center" vertical="center"/>
    </xf>
    <xf numFmtId="5" fontId="1" fillId="2" borderId="1" xfId="0" applyNumberFormat="1" applyFont="1" applyFill="1" applyBorder="1" applyAlignment="1">
      <alignment horizontal="center" vertical="center"/>
    </xf>
    <xf numFmtId="0" fontId="4" fillId="8" borderId="0" xfId="0" applyFont="1" applyFill="1" applyAlignment="1" applyProtection="1">
      <alignment horizontal="right"/>
      <protection locked="0"/>
    </xf>
    <xf numFmtId="0" fontId="4" fillId="8" borderId="83" xfId="0" applyFont="1" applyFill="1" applyBorder="1" applyAlignment="1" applyProtection="1">
      <alignment horizontal="right"/>
      <protection locked="0"/>
    </xf>
    <xf numFmtId="0" fontId="1" fillId="8" borderId="0" xfId="0" applyFont="1" applyFill="1" applyAlignment="1" applyProtection="1">
      <alignment horizontal="center"/>
      <protection hidden="1"/>
    </xf>
    <xf numFmtId="0" fontId="1" fillId="8" borderId="83" xfId="0" applyFont="1" applyFill="1" applyBorder="1" applyAlignment="1" applyProtection="1">
      <alignment horizontal="center"/>
      <protection hidden="1"/>
    </xf>
    <xf numFmtId="0" fontId="10" fillId="8" borderId="0" xfId="0" applyFont="1" applyFill="1" applyAlignment="1" applyProtection="1">
      <alignment horizontal="center"/>
      <protection hidden="1"/>
    </xf>
    <xf numFmtId="0" fontId="10" fillId="0" borderId="0" xfId="0" applyFont="1" applyAlignment="1">
      <alignment horizontal="center"/>
    </xf>
    <xf numFmtId="0" fontId="10" fillId="0" borderId="57" xfId="0" applyFont="1" applyBorder="1" applyAlignment="1">
      <alignment horizontal="center"/>
    </xf>
    <xf numFmtId="0" fontId="17" fillId="12" borderId="0" xfId="0" applyFont="1" applyFill="1" applyAlignment="1" applyProtection="1">
      <alignment horizontal="left"/>
      <protection hidden="1"/>
    </xf>
    <xf numFmtId="0" fontId="17" fillId="0" borderId="83" xfId="0" applyFont="1" applyBorder="1" applyAlignment="1">
      <alignment horizontal="left"/>
    </xf>
    <xf numFmtId="0" fontId="27" fillId="8" borderId="0" xfId="0" applyFont="1" applyFill="1" applyAlignment="1" applyProtection="1">
      <alignment horizontal="left"/>
      <protection hidden="1"/>
    </xf>
    <xf numFmtId="0" fontId="27" fillId="8" borderId="83" xfId="0" applyFont="1" applyFill="1" applyBorder="1" applyAlignment="1" applyProtection="1">
      <alignment horizontal="left"/>
      <protection hidden="1"/>
    </xf>
    <xf numFmtId="0" fontId="28" fillId="0" borderId="0" xfId="0" applyFont="1" applyAlignment="1" applyProtection="1">
      <alignment horizontal="center"/>
      <protection locked="0" hidden="1"/>
    </xf>
    <xf numFmtId="0" fontId="28" fillId="0" borderId="83" xfId="0" applyFont="1" applyBorder="1" applyAlignment="1" applyProtection="1">
      <alignment horizontal="center"/>
      <protection locked="0" hidden="1"/>
    </xf>
    <xf numFmtId="0" fontId="0" fillId="0" borderId="72" xfId="0" applyBorder="1" applyAlignment="1" applyProtection="1">
      <alignment horizontal="center"/>
      <protection locked="0" hidden="1"/>
    </xf>
    <xf numFmtId="0" fontId="0" fillId="0" borderId="57" xfId="0" applyBorder="1" applyAlignment="1" applyProtection="1">
      <alignment horizontal="center"/>
      <protection locked="0" hidden="1"/>
    </xf>
    <xf numFmtId="166" fontId="23" fillId="7" borderId="88" xfId="0" applyNumberFormat="1" applyFont="1" applyFill="1" applyBorder="1" applyAlignment="1" applyProtection="1">
      <alignment horizontal="center"/>
      <protection hidden="1"/>
    </xf>
    <xf numFmtId="166" fontId="23" fillId="7" borderId="69" xfId="0" applyNumberFormat="1" applyFont="1" applyFill="1" applyBorder="1" applyAlignment="1" applyProtection="1">
      <alignment horizontal="center"/>
      <protection hidden="1"/>
    </xf>
    <xf numFmtId="0" fontId="26" fillId="8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1" fillId="13" borderId="1" xfId="0" applyNumberFormat="1" applyFont="1" applyFill="1" applyBorder="1" applyAlignment="1" applyProtection="1">
      <alignment horizontal="center"/>
      <protection hidden="1"/>
    </xf>
    <xf numFmtId="0" fontId="0" fillId="0" borderId="1" xfId="0" applyBorder="1"/>
    <xf numFmtId="0" fontId="16" fillId="8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166" fontId="1" fillId="7" borderId="88" xfId="0" applyNumberFormat="1" applyFont="1" applyFill="1" applyBorder="1" applyAlignment="1" applyProtection="1">
      <alignment horizontal="center"/>
      <protection hidden="1"/>
    </xf>
    <xf numFmtId="166" fontId="1" fillId="7" borderId="107" xfId="0" applyNumberFormat="1" applyFont="1" applyFill="1" applyBorder="1" applyAlignment="1" applyProtection="1">
      <alignment horizontal="center"/>
      <protection hidden="1"/>
    </xf>
    <xf numFmtId="166" fontId="24" fillId="7" borderId="68" xfId="0" applyNumberFormat="1" applyFont="1" applyFill="1" applyBorder="1" applyAlignment="1" applyProtection="1">
      <alignment horizontal="center"/>
      <protection hidden="1"/>
    </xf>
    <xf numFmtId="166" fontId="24" fillId="7" borderId="69" xfId="0" applyNumberFormat="1" applyFont="1" applyFill="1" applyBorder="1" applyAlignment="1" applyProtection="1">
      <alignment horizontal="center"/>
      <protection hidden="1"/>
    </xf>
    <xf numFmtId="166" fontId="24" fillId="7" borderId="107" xfId="0" applyNumberFormat="1" applyFont="1" applyFill="1" applyBorder="1" applyAlignment="1" applyProtection="1">
      <alignment horizontal="center"/>
      <protection hidden="1"/>
    </xf>
    <xf numFmtId="0" fontId="4" fillId="3" borderId="12" xfId="0" applyFont="1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27" fillId="0" borderId="110" xfId="0" applyFont="1" applyBorder="1" applyAlignment="1">
      <alignment horizontal="center" vertical="center" wrapText="1"/>
    </xf>
    <xf numFmtId="0" fontId="27" fillId="0" borderId="109" xfId="0" applyFont="1" applyBorder="1" applyAlignment="1">
      <alignment horizontal="center" vertical="center" wrapText="1"/>
    </xf>
    <xf numFmtId="0" fontId="27" fillId="0" borderId="111" xfId="0" applyFont="1" applyBorder="1" applyAlignment="1">
      <alignment horizontal="center" vertical="center" wrapText="1"/>
    </xf>
    <xf numFmtId="0" fontId="27" fillId="0" borderId="112" xfId="0" applyFont="1" applyBorder="1" applyAlignment="1">
      <alignment vertical="center" wrapText="1"/>
    </xf>
    <xf numFmtId="0" fontId="27" fillId="0" borderId="84" xfId="0" applyFont="1" applyBorder="1" applyAlignment="1">
      <alignment vertical="center" wrapText="1"/>
    </xf>
    <xf numFmtId="0" fontId="27" fillId="0" borderId="85" xfId="0" applyFont="1" applyBorder="1" applyAlignment="1">
      <alignment vertical="center" wrapText="1"/>
    </xf>
    <xf numFmtId="0" fontId="21" fillId="0" borderId="70" xfId="0" applyFont="1" applyBorder="1" applyAlignment="1" applyProtection="1">
      <alignment horizontal="center" vertical="center"/>
      <protection hidden="1"/>
    </xf>
    <xf numFmtId="0" fontId="21" fillId="0" borderId="69" xfId="0" applyFont="1" applyBorder="1" applyAlignment="1" applyProtection="1">
      <alignment horizontal="center" vertical="center"/>
      <protection hidden="1"/>
    </xf>
    <xf numFmtId="0" fontId="21" fillId="0" borderId="107" xfId="0" applyFont="1" applyBorder="1" applyAlignment="1" applyProtection="1">
      <alignment horizontal="center" vertical="center"/>
      <protection hidden="1"/>
    </xf>
    <xf numFmtId="0" fontId="22" fillId="0" borderId="1" xfId="0" applyFont="1" applyBorder="1" applyAlignment="1">
      <alignment horizontal="center" vertical="center"/>
    </xf>
    <xf numFmtId="0" fontId="33" fillId="0" borderId="57" xfId="0" applyFont="1" applyBorder="1" applyProtection="1">
      <protection locked="0" hidden="1"/>
    </xf>
    <xf numFmtId="0" fontId="33" fillId="0" borderId="54" xfId="0" applyFont="1" applyBorder="1" applyProtection="1">
      <protection locked="0" hidden="1"/>
    </xf>
    <xf numFmtId="0" fontId="33" fillId="0" borderId="34" xfId="0" applyFont="1" applyBorder="1" applyProtection="1">
      <protection locked="0" hidden="1"/>
    </xf>
    <xf numFmtId="4" fontId="0" fillId="0" borderId="0" xfId="0" applyNumberFormat="1" applyProtection="1">
      <protection hidden="1"/>
    </xf>
    <xf numFmtId="7" fontId="28" fillId="7" borderId="0" xfId="0" applyNumberFormat="1" applyFont="1" applyFill="1" applyBorder="1" applyAlignment="1" applyProtection="1">
      <alignment horizontal="center"/>
      <protection locked="0" hidden="1"/>
    </xf>
    <xf numFmtId="0" fontId="1" fillId="0" borderId="110" xfId="0" applyFont="1" applyBorder="1" applyAlignment="1" applyProtection="1">
      <alignment horizontal="center" vertical="center"/>
      <protection hidden="1"/>
    </xf>
    <xf numFmtId="4" fontId="1" fillId="13" borderId="111" xfId="0" applyNumberFormat="1" applyFont="1" applyFill="1" applyBorder="1" applyAlignment="1" applyProtection="1">
      <alignment horizontal="centerContinuous"/>
      <protection locked="0" hidden="1"/>
    </xf>
    <xf numFmtId="0" fontId="0" fillId="0" borderId="122" xfId="0" applyBorder="1" applyProtection="1">
      <protection hidden="1"/>
    </xf>
    <xf numFmtId="4" fontId="0" fillId="0" borderId="123" xfId="0" applyNumberFormat="1" applyBorder="1" applyAlignment="1" applyProtection="1">
      <alignment horizontal="center"/>
      <protection hidden="1"/>
    </xf>
    <xf numFmtId="0" fontId="0" fillId="0" borderId="124" xfId="0" applyBorder="1" applyProtection="1">
      <protection hidden="1"/>
    </xf>
    <xf numFmtId="4" fontId="0" fillId="0" borderId="125" xfId="0" applyNumberFormat="1" applyBorder="1" applyAlignment="1" applyProtection="1">
      <alignment horizontal="center"/>
      <protection hidden="1"/>
    </xf>
    <xf numFmtId="0" fontId="0" fillId="0" borderId="126" xfId="0" applyBorder="1" applyProtection="1">
      <protection hidden="1"/>
    </xf>
    <xf numFmtId="4" fontId="21" fillId="0" borderId="127" xfId="0" applyNumberFormat="1" applyFont="1" applyBorder="1" applyAlignment="1" applyProtection="1">
      <alignment horizontal="center"/>
      <protection hidden="1"/>
    </xf>
  </cellXfs>
  <cellStyles count="3">
    <cellStyle name="Currency" xfId="1" builtinId="4"/>
    <cellStyle name="Good" xfId="2" builtinId="26"/>
    <cellStyle name="Normal" xfId="0" builtinId="0"/>
  </cellStyles>
  <dxfs count="34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indexed="26"/>
        </patternFill>
      </fill>
    </dxf>
    <dxf>
      <fill>
        <patternFill patternType="gray125"/>
      </fill>
    </dxf>
    <dxf>
      <fill>
        <patternFill>
          <bgColor indexed="29"/>
        </patternFill>
      </fill>
    </dxf>
    <dxf>
      <fill>
        <patternFill patternType="gray125">
          <bgColor indexed="9"/>
        </patternFill>
      </fill>
    </dxf>
    <dxf>
      <fill>
        <patternFill patternType="gray125">
          <bgColor indexed="9"/>
        </patternFill>
      </fill>
    </dxf>
    <dxf>
      <fill>
        <patternFill>
          <bgColor indexed="26"/>
        </patternFill>
      </fill>
    </dxf>
    <dxf>
      <fill>
        <patternFill patternType="gray125"/>
      </fill>
    </dxf>
    <dxf>
      <fill>
        <patternFill>
          <bgColor indexed="29"/>
        </patternFill>
      </fill>
    </dxf>
    <dxf>
      <fill>
        <patternFill>
          <bgColor indexed="29"/>
        </patternFill>
      </fill>
    </dxf>
    <dxf>
      <fill>
        <patternFill patternType="gray125">
          <bgColor indexed="9"/>
        </patternFill>
      </fill>
    </dxf>
    <dxf>
      <fill>
        <patternFill patternType="gray125">
          <bgColor indexed="9"/>
        </patternFill>
      </fill>
    </dxf>
    <dxf>
      <fill>
        <patternFill>
          <bgColor indexed="29"/>
        </patternFill>
      </fill>
    </dxf>
    <dxf>
      <fill>
        <patternFill patternType="gray125">
          <bgColor indexed="9"/>
        </patternFill>
      </fill>
    </dxf>
    <dxf>
      <fill>
        <patternFill>
          <bgColor indexed="45"/>
        </patternFill>
      </fill>
    </dxf>
    <dxf>
      <fill>
        <patternFill>
          <bgColor indexed="29"/>
        </patternFill>
      </fill>
    </dxf>
    <dxf>
      <fill>
        <patternFill patternType="gray125">
          <bgColor indexed="9"/>
        </patternFill>
      </fill>
    </dxf>
    <dxf>
      <fill>
        <patternFill>
          <bgColor indexed="26"/>
        </patternFill>
      </fill>
    </dxf>
    <dxf>
      <fill>
        <patternFill patternType="gray125"/>
      </fill>
    </dxf>
    <dxf>
      <fill>
        <patternFill patternType="solid">
          <bgColor indexed="26"/>
        </patternFill>
      </fill>
    </dxf>
    <dxf>
      <fill>
        <patternFill patternType="solid">
          <bgColor indexed="26"/>
        </patternFill>
      </fill>
    </dxf>
    <dxf>
      <fill>
        <patternFill>
          <bgColor indexed="29"/>
        </patternFill>
      </fill>
    </dxf>
    <dxf>
      <fill>
        <patternFill>
          <bgColor indexed="42"/>
        </patternFill>
      </fill>
    </dxf>
    <dxf>
      <fill>
        <patternFill>
          <bgColor indexed="29"/>
        </patternFill>
      </fill>
    </dxf>
    <dxf>
      <fill>
        <patternFill>
          <bgColor indexed="29"/>
        </patternFill>
      </fill>
    </dxf>
    <dxf>
      <fill>
        <patternFill>
          <bgColor indexed="29"/>
        </patternFill>
      </fill>
    </dxf>
    <dxf>
      <fill>
        <patternFill patternType="gray125">
          <bgColor indexed="9"/>
        </patternFill>
      </fill>
    </dxf>
    <dxf>
      <fill>
        <patternFill patternType="solid">
          <bgColor indexed="26"/>
        </patternFill>
      </fill>
    </dxf>
    <dxf>
      <fill>
        <patternFill patternType="gray125"/>
      </fill>
    </dxf>
    <dxf>
      <fill>
        <patternFill patternType="gray125"/>
      </fill>
    </dxf>
    <dxf>
      <fill>
        <patternFill patternType="gray125"/>
      </fill>
    </dxf>
    <dxf>
      <fill>
        <patternFill>
          <bgColor indexed="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CCFF"/>
      <color rgb="FF65FFAB"/>
      <color rgb="FFBEBEBE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295275</xdr:colOff>
          <xdr:row>7</xdr:row>
          <xdr:rowOff>161925</xdr:rowOff>
        </xdr:from>
        <xdr:to>
          <xdr:col>12</xdr:col>
          <xdr:colOff>495300</xdr:colOff>
          <xdr:row>11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DFA 285B</a:t>
              </a:r>
            </a:p>
          </xdr:txBody>
        </xdr:sp>
        <xdr:clientData/>
      </xdr:twoCellAnchor>
    </mc:Choice>
    <mc:Fallback/>
  </mc:AlternateContent>
  <xdr:oneCellAnchor>
    <xdr:from>
      <xdr:col>13</xdr:col>
      <xdr:colOff>1214438</xdr:colOff>
      <xdr:row>18</xdr:row>
      <xdr:rowOff>134938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8120063" y="313531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238125</xdr:colOff>
          <xdr:row>1</xdr:row>
          <xdr:rowOff>47625</xdr:rowOff>
        </xdr:from>
        <xdr:to>
          <xdr:col>8</xdr:col>
          <xdr:colOff>1343025</xdr:colOff>
          <xdr:row>7</xdr:row>
          <xdr:rowOff>9525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Print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DFA 285B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2</xdr:row>
          <xdr:rowOff>47625</xdr:rowOff>
        </xdr:from>
        <xdr:to>
          <xdr:col>4</xdr:col>
          <xdr:colOff>295275</xdr:colOff>
          <xdr:row>4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Data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2.bin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5" Type="http://schemas.openxmlformats.org/officeDocument/2006/relationships/comments" Target="../comments3.xml"/><Relationship Id="rId4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3.xml"/><Relationship Id="rId5" Type="http://schemas.openxmlformats.org/officeDocument/2006/relationships/vmlDrawing" Target="../drawings/vmlDrawing5.vml"/><Relationship Id="rId4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2.bin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6.bin"/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Relationship Id="rId5" Type="http://schemas.openxmlformats.org/officeDocument/2006/relationships/comments" Target="../comments4.xml"/><Relationship Id="rId4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61"/>
  <sheetViews>
    <sheetView tabSelected="1" zoomScale="120" zoomScaleNormal="120" workbookViewId="0">
      <selection activeCell="K11" sqref="K11"/>
    </sheetView>
  </sheetViews>
  <sheetFormatPr defaultRowHeight="12.75"/>
  <cols>
    <col min="1" max="1" width="3.7109375" customWidth="1"/>
    <col min="2" max="2" width="4" customWidth="1"/>
    <col min="4" max="4" width="5.5703125" customWidth="1"/>
    <col min="5" max="5" width="29.42578125" customWidth="1"/>
    <col min="6" max="6" width="4" customWidth="1"/>
    <col min="7" max="7" width="2.5703125" customWidth="1"/>
    <col min="8" max="8" width="4" customWidth="1"/>
    <col min="9" max="9" width="3.7109375" customWidth="1"/>
    <col min="11" max="11" width="10.85546875" customWidth="1"/>
    <col min="14" max="14" width="20.5703125" customWidth="1"/>
  </cols>
  <sheetData>
    <row r="1" spans="1:16">
      <c r="A1" s="673" t="s">
        <v>377</v>
      </c>
      <c r="B1" s="673"/>
      <c r="C1" s="673"/>
      <c r="D1" s="673"/>
      <c r="E1" s="673"/>
      <c r="F1" s="673"/>
      <c r="G1" s="673"/>
      <c r="H1" s="673"/>
      <c r="I1" s="673"/>
      <c r="J1" s="673"/>
      <c r="K1" s="673"/>
      <c r="L1" s="673"/>
      <c r="M1" s="674"/>
      <c r="N1" s="3"/>
      <c r="O1" s="3"/>
      <c r="P1" s="3"/>
    </row>
    <row r="2" spans="1:16">
      <c r="A2" s="675" t="s">
        <v>472</v>
      </c>
      <c r="B2" s="676"/>
      <c r="C2" s="676"/>
      <c r="D2" s="676"/>
      <c r="E2" s="676"/>
      <c r="F2" s="676"/>
      <c r="G2" s="676"/>
      <c r="H2" s="676"/>
      <c r="I2" s="676"/>
      <c r="J2" s="676"/>
      <c r="K2" s="676"/>
      <c r="L2" s="676"/>
      <c r="M2" s="677"/>
      <c r="N2" s="3"/>
      <c r="O2" s="3"/>
      <c r="P2" s="3"/>
    </row>
    <row r="3" spans="1:16">
      <c r="A3" s="327" t="s">
        <v>259</v>
      </c>
      <c r="B3" s="327"/>
      <c r="C3" s="327"/>
      <c r="D3" s="327"/>
      <c r="E3" s="327"/>
      <c r="F3" s="327"/>
      <c r="G3" s="327"/>
      <c r="H3" s="327"/>
      <c r="I3" s="327"/>
      <c r="J3" s="327"/>
      <c r="K3" s="327"/>
      <c r="L3" s="393"/>
      <c r="M3" s="233"/>
      <c r="N3" s="3"/>
      <c r="O3" s="3"/>
      <c r="P3" s="3"/>
    </row>
    <row r="4" spans="1:16" ht="18">
      <c r="A4" s="270" t="s">
        <v>165</v>
      </c>
      <c r="B4" s="232"/>
      <c r="C4" s="232"/>
      <c r="D4" s="232"/>
      <c r="E4" s="232"/>
      <c r="F4" s="232"/>
      <c r="G4" s="232"/>
      <c r="H4" s="232"/>
      <c r="I4" s="232"/>
      <c r="J4" s="232"/>
      <c r="K4" s="232"/>
      <c r="L4" s="678" t="s">
        <v>261</v>
      </c>
      <c r="M4" s="679"/>
      <c r="N4" s="3"/>
      <c r="O4" s="3"/>
      <c r="P4" s="3"/>
    </row>
    <row r="5" spans="1:16">
      <c r="A5" s="232"/>
      <c r="B5" s="234" t="s">
        <v>0</v>
      </c>
      <c r="C5" s="234" t="s">
        <v>243</v>
      </c>
      <c r="D5" s="232"/>
      <c r="E5" s="232"/>
      <c r="F5" s="232"/>
      <c r="G5" s="232"/>
      <c r="H5" s="232"/>
      <c r="I5" s="232"/>
      <c r="J5" s="232"/>
      <c r="K5" s="232"/>
      <c r="L5" s="680" t="s">
        <v>459</v>
      </c>
      <c r="M5" s="681"/>
      <c r="N5" s="3"/>
      <c r="O5" s="3"/>
      <c r="P5" s="3"/>
    </row>
    <row r="6" spans="1:16">
      <c r="A6" s="232"/>
      <c r="B6" s="232"/>
      <c r="C6" s="232"/>
      <c r="D6" s="232"/>
      <c r="E6" s="232"/>
      <c r="F6" s="232"/>
      <c r="G6" s="232"/>
      <c r="H6" s="232"/>
      <c r="I6" s="232"/>
      <c r="J6" s="232"/>
      <c r="K6" s="232"/>
      <c r="L6" s="680"/>
      <c r="M6" s="681"/>
      <c r="N6" s="3"/>
      <c r="O6" s="3"/>
      <c r="P6" s="3"/>
    </row>
    <row r="7" spans="1:16">
      <c r="A7" s="232"/>
      <c r="B7" s="234" t="s">
        <v>1</v>
      </c>
      <c r="C7" s="234" t="s">
        <v>252</v>
      </c>
      <c r="D7" s="232"/>
      <c r="E7" s="232"/>
      <c r="F7" s="232"/>
      <c r="G7" s="232"/>
      <c r="H7" s="232"/>
      <c r="I7" s="232"/>
      <c r="J7" s="232"/>
      <c r="K7" s="232"/>
      <c r="L7" s="232"/>
      <c r="M7" s="233"/>
      <c r="N7" s="3"/>
      <c r="O7" s="3"/>
      <c r="P7" s="3"/>
    </row>
    <row r="8" spans="1:16" ht="13.5" thickBot="1">
      <c r="A8" s="232"/>
      <c r="B8" s="234"/>
      <c r="C8" s="234"/>
      <c r="D8" s="232"/>
      <c r="E8" s="232"/>
      <c r="F8" s="232"/>
      <c r="G8" s="232"/>
      <c r="H8" s="232"/>
      <c r="I8" s="232"/>
      <c r="J8" s="232"/>
      <c r="K8" s="232"/>
      <c r="L8" s="232"/>
      <c r="M8" s="233"/>
      <c r="N8" s="3"/>
      <c r="O8" s="3"/>
      <c r="P8" s="3"/>
    </row>
    <row r="9" spans="1:16" ht="13.5" thickBot="1">
      <c r="A9" s="226"/>
      <c r="B9" s="226"/>
      <c r="C9" s="226"/>
      <c r="D9" s="235" t="s">
        <v>2</v>
      </c>
      <c r="E9" s="321"/>
      <c r="F9" s="232"/>
      <c r="G9" s="232"/>
      <c r="H9" s="232"/>
      <c r="I9" s="232"/>
      <c r="J9" s="236" t="s">
        <v>228</v>
      </c>
      <c r="K9" s="453"/>
      <c r="L9" s="232"/>
      <c r="M9" s="233"/>
      <c r="N9" s="3"/>
      <c r="O9" s="3"/>
      <c r="P9" s="3"/>
    </row>
    <row r="10" spans="1:16" ht="14.25" thickBot="1">
      <c r="A10" s="226"/>
      <c r="B10" s="226"/>
      <c r="C10" s="226"/>
      <c r="D10" s="235" t="s">
        <v>3</v>
      </c>
      <c r="E10" s="427"/>
      <c r="F10" s="232"/>
      <c r="G10" s="232"/>
      <c r="H10" s="232"/>
      <c r="I10" s="232"/>
      <c r="J10" s="237" t="s">
        <v>229</v>
      </c>
      <c r="K10" s="452"/>
      <c r="L10" s="232"/>
      <c r="M10" s="233"/>
      <c r="N10" s="3"/>
      <c r="O10" s="3"/>
      <c r="P10" s="3"/>
    </row>
    <row r="11" spans="1:16" ht="13.5" thickBot="1">
      <c r="A11" s="226"/>
      <c r="B11" s="226"/>
      <c r="C11" s="226"/>
      <c r="D11" s="235"/>
      <c r="E11" s="671" t="s">
        <v>324</v>
      </c>
      <c r="F11" s="671"/>
      <c r="G11" s="671"/>
      <c r="H11" s="671"/>
      <c r="I11" s="671"/>
      <c r="J11" s="672"/>
      <c r="K11" s="476">
        <v>0</v>
      </c>
      <c r="L11" s="232"/>
      <c r="M11" s="233"/>
      <c r="N11" s="3"/>
      <c r="O11" s="3"/>
      <c r="P11" s="3"/>
    </row>
    <row r="12" spans="1:16">
      <c r="A12" s="232"/>
      <c r="B12" s="232"/>
      <c r="C12" s="232"/>
      <c r="D12" s="232"/>
      <c r="E12" s="232"/>
      <c r="F12" s="232"/>
      <c r="G12" s="232"/>
      <c r="H12" s="232"/>
      <c r="I12" s="232"/>
      <c r="J12" s="232"/>
      <c r="K12" s="232"/>
      <c r="L12" s="232"/>
      <c r="M12" s="233"/>
      <c r="N12" s="3"/>
      <c r="O12" s="3"/>
      <c r="P12" s="3"/>
    </row>
    <row r="13" spans="1:16">
      <c r="A13" s="232"/>
      <c r="B13" s="234" t="s">
        <v>4</v>
      </c>
      <c r="C13" s="234" t="s">
        <v>244</v>
      </c>
      <c r="D13" s="232"/>
      <c r="E13" s="232"/>
      <c r="F13" s="232"/>
      <c r="G13" s="232"/>
      <c r="H13" s="232"/>
      <c r="I13" s="232"/>
      <c r="J13" s="232"/>
      <c r="K13" s="232"/>
      <c r="L13" s="232"/>
      <c r="M13" s="233"/>
      <c r="N13" s="3"/>
      <c r="O13" s="3"/>
      <c r="P13" s="3"/>
    </row>
    <row r="14" spans="1:16">
      <c r="A14" s="232"/>
      <c r="B14" s="238"/>
      <c r="C14" s="232" t="s">
        <v>225</v>
      </c>
      <c r="D14" s="232"/>
      <c r="E14" s="232"/>
      <c r="F14" s="232"/>
      <c r="G14" s="232"/>
      <c r="H14" s="232"/>
      <c r="I14" s="232"/>
      <c r="J14" s="271"/>
      <c r="K14" s="271"/>
      <c r="L14" s="232"/>
      <c r="M14" s="233"/>
      <c r="N14" s="3"/>
      <c r="O14" s="3"/>
      <c r="P14" s="3"/>
    </row>
    <row r="15" spans="1:16">
      <c r="A15" s="232"/>
      <c r="B15" s="238"/>
      <c r="C15" s="232" t="s">
        <v>226</v>
      </c>
      <c r="D15" s="232"/>
      <c r="E15" s="232"/>
      <c r="F15" s="232"/>
      <c r="G15" s="232"/>
      <c r="H15" s="241"/>
      <c r="I15" s="241"/>
      <c r="J15" s="241"/>
      <c r="K15" s="232"/>
      <c r="L15" s="232"/>
      <c r="M15" s="233"/>
      <c r="N15" s="3"/>
      <c r="O15" s="3"/>
      <c r="P15" s="3"/>
    </row>
    <row r="16" spans="1:16">
      <c r="A16" s="232"/>
      <c r="B16" s="238"/>
      <c r="C16" s="232" t="s">
        <v>227</v>
      </c>
      <c r="D16" s="232"/>
      <c r="E16" s="232"/>
      <c r="F16" s="232"/>
      <c r="G16" s="232"/>
      <c r="H16" s="232"/>
      <c r="I16" s="232"/>
      <c r="J16" s="232"/>
      <c r="K16" s="287"/>
      <c r="L16" s="226"/>
      <c r="M16" s="233"/>
      <c r="N16" s="3"/>
      <c r="O16" s="3"/>
      <c r="P16" s="3"/>
    </row>
    <row r="17" spans="1:19">
      <c r="A17" s="232"/>
      <c r="B17" s="238"/>
      <c r="C17" s="232"/>
      <c r="D17" s="232"/>
      <c r="E17" s="232"/>
      <c r="F17" s="232"/>
      <c r="G17" s="232"/>
      <c r="H17" s="232"/>
      <c r="I17" s="232"/>
      <c r="J17" s="226"/>
      <c r="K17" s="226"/>
      <c r="L17" s="232"/>
      <c r="M17" s="233"/>
      <c r="N17" s="3"/>
      <c r="O17" s="3"/>
      <c r="P17" s="3"/>
      <c r="S17" s="366"/>
    </row>
    <row r="18" spans="1:19">
      <c r="A18" s="232"/>
      <c r="B18" s="238"/>
      <c r="C18" s="232"/>
      <c r="D18" s="232"/>
      <c r="E18" s="287"/>
      <c r="F18" s="232"/>
      <c r="G18" s="232"/>
      <c r="H18" s="232"/>
      <c r="I18" s="232"/>
      <c r="J18" s="226"/>
      <c r="K18" s="226"/>
      <c r="L18" s="232"/>
      <c r="M18" s="233"/>
      <c r="N18" s="3"/>
      <c r="O18" s="3"/>
      <c r="P18" s="3"/>
    </row>
    <row r="19" spans="1:19">
      <c r="A19" s="232"/>
      <c r="B19" s="234" t="s">
        <v>5</v>
      </c>
      <c r="C19" s="232" t="s">
        <v>251</v>
      </c>
      <c r="D19" s="232"/>
      <c r="E19" s="232"/>
      <c r="F19" s="232"/>
      <c r="G19" s="232"/>
      <c r="H19" s="232"/>
      <c r="I19" s="232"/>
      <c r="J19" s="232"/>
      <c r="K19" s="232"/>
      <c r="L19" s="232"/>
      <c r="M19" s="233"/>
      <c r="N19" s="3"/>
      <c r="O19" s="3"/>
      <c r="P19" s="3"/>
    </row>
    <row r="20" spans="1:19">
      <c r="A20" s="232"/>
      <c r="B20" s="234"/>
      <c r="C20" s="232" t="s">
        <v>247</v>
      </c>
      <c r="D20" s="232"/>
      <c r="E20" s="232"/>
      <c r="F20" s="232"/>
      <c r="G20" s="232"/>
      <c r="H20" s="232"/>
      <c r="I20" s="232"/>
      <c r="J20" s="232"/>
      <c r="K20" s="232"/>
      <c r="L20" s="232"/>
      <c r="M20" s="233"/>
      <c r="N20" s="3"/>
      <c r="O20" s="3"/>
      <c r="P20" s="3"/>
    </row>
    <row r="21" spans="1:19">
      <c r="A21" s="232"/>
      <c r="B21" s="238"/>
      <c r="C21" s="232"/>
      <c r="D21" s="232"/>
      <c r="E21" s="232"/>
      <c r="F21" s="232"/>
      <c r="G21" s="232"/>
      <c r="H21" s="232"/>
      <c r="I21" s="232"/>
      <c r="J21" s="232"/>
      <c r="K21" s="232"/>
      <c r="L21" s="232"/>
      <c r="M21" s="233"/>
      <c r="N21" s="3"/>
      <c r="O21" s="3"/>
      <c r="P21" s="3"/>
    </row>
    <row r="22" spans="1:19">
      <c r="A22" s="232"/>
      <c r="B22" s="234" t="s">
        <v>6</v>
      </c>
      <c r="C22" s="232" t="s">
        <v>249</v>
      </c>
      <c r="D22" s="232"/>
      <c r="E22" s="232"/>
      <c r="F22" s="232"/>
      <c r="G22" s="232"/>
      <c r="H22" s="232"/>
      <c r="I22" s="232"/>
      <c r="J22" s="232"/>
      <c r="K22" s="232"/>
      <c r="L22" s="232"/>
      <c r="M22" s="233"/>
      <c r="N22" s="3"/>
      <c r="O22" s="3"/>
      <c r="P22" s="3"/>
    </row>
    <row r="23" spans="1:19">
      <c r="A23" s="232"/>
      <c r="B23" s="232"/>
      <c r="C23" s="232" t="s">
        <v>250</v>
      </c>
      <c r="D23" s="232"/>
      <c r="E23" s="232"/>
      <c r="F23" s="232"/>
      <c r="G23" s="232"/>
      <c r="H23" s="232"/>
      <c r="I23" s="232"/>
      <c r="J23" s="232"/>
      <c r="K23" s="232"/>
      <c r="L23" s="232"/>
      <c r="M23" s="233"/>
      <c r="N23" s="3"/>
      <c r="O23" s="3"/>
      <c r="P23" s="3"/>
    </row>
    <row r="24" spans="1:19">
      <c r="A24" s="232"/>
      <c r="B24" s="232"/>
      <c r="C24" s="232" t="s">
        <v>248</v>
      </c>
      <c r="D24" s="232"/>
      <c r="E24" s="232"/>
      <c r="F24" s="232"/>
      <c r="G24" s="232"/>
      <c r="H24" s="232"/>
      <c r="I24" s="232"/>
      <c r="J24" s="232"/>
      <c r="K24" s="232"/>
      <c r="L24" s="232"/>
      <c r="M24" s="233"/>
      <c r="N24" s="3"/>
      <c r="O24" s="3"/>
      <c r="P24" s="3"/>
    </row>
    <row r="25" spans="1:19">
      <c r="A25" s="232"/>
      <c r="B25" s="232"/>
      <c r="C25" s="232"/>
      <c r="D25" s="232"/>
      <c r="E25" s="232"/>
      <c r="F25" s="232"/>
      <c r="G25" s="232"/>
      <c r="H25" s="232"/>
      <c r="I25" s="232"/>
      <c r="J25" s="232"/>
      <c r="K25" s="232"/>
      <c r="L25" s="232"/>
      <c r="M25" s="233"/>
      <c r="N25" s="3"/>
      <c r="O25" s="3"/>
      <c r="P25" s="3"/>
    </row>
    <row r="26" spans="1:19">
      <c r="A26" s="232"/>
      <c r="B26" s="291" t="s">
        <v>242</v>
      </c>
      <c r="C26" s="232"/>
      <c r="D26" s="232"/>
      <c r="E26" s="232"/>
      <c r="F26" s="232"/>
      <c r="G26" s="232"/>
      <c r="H26" s="232"/>
      <c r="I26" s="232"/>
      <c r="J26" s="232"/>
      <c r="K26" s="232"/>
      <c r="L26" s="232"/>
      <c r="M26" s="233"/>
      <c r="N26" s="3"/>
      <c r="O26" s="3"/>
      <c r="P26" s="3"/>
    </row>
    <row r="27" spans="1:19">
      <c r="A27" s="232"/>
      <c r="B27" s="234"/>
      <c r="C27" s="232"/>
      <c r="D27" s="232"/>
      <c r="E27" s="232"/>
      <c r="F27" s="232"/>
      <c r="G27" s="232"/>
      <c r="H27" s="232"/>
      <c r="I27" s="232"/>
      <c r="J27" s="232"/>
      <c r="K27" s="232"/>
      <c r="L27" s="232"/>
      <c r="M27" s="233"/>
      <c r="N27" s="3"/>
      <c r="O27" s="3"/>
      <c r="P27" s="3"/>
    </row>
    <row r="28" spans="1:19">
      <c r="A28" s="232"/>
      <c r="B28" s="238" t="s">
        <v>55</v>
      </c>
      <c r="C28" s="232" t="s">
        <v>245</v>
      </c>
      <c r="D28" s="232"/>
      <c r="E28" s="232"/>
      <c r="F28" s="232"/>
      <c r="G28" s="232"/>
      <c r="H28" s="232"/>
      <c r="I28" s="232"/>
      <c r="J28" s="232"/>
      <c r="K28" s="232"/>
      <c r="L28" s="232"/>
      <c r="M28" s="233"/>
      <c r="N28" s="3"/>
      <c r="O28" s="3"/>
      <c r="P28" s="3"/>
    </row>
    <row r="29" spans="1:19">
      <c r="A29" s="232"/>
      <c r="B29" s="234"/>
      <c r="C29" s="232"/>
      <c r="D29" s="232"/>
      <c r="E29" s="232"/>
      <c r="F29" s="232"/>
      <c r="G29" s="232"/>
      <c r="H29" s="232"/>
      <c r="I29" s="232"/>
      <c r="J29" s="232"/>
      <c r="K29" s="232"/>
      <c r="L29" s="232"/>
      <c r="M29" s="233"/>
      <c r="N29" s="3"/>
      <c r="O29" s="3"/>
      <c r="P29" s="3"/>
    </row>
    <row r="30" spans="1:19">
      <c r="A30" s="232"/>
      <c r="B30" s="234" t="s">
        <v>71</v>
      </c>
      <c r="C30" s="232" t="s">
        <v>246</v>
      </c>
      <c r="D30" s="232"/>
      <c r="E30" s="232"/>
      <c r="F30" s="232"/>
      <c r="G30" s="232"/>
      <c r="H30" s="232"/>
      <c r="I30" s="232"/>
      <c r="J30" s="232"/>
      <c r="K30" s="232"/>
      <c r="L30" s="232"/>
      <c r="M30" s="233"/>
      <c r="N30" s="3"/>
      <c r="O30" s="3"/>
      <c r="P30" s="3"/>
    </row>
    <row r="31" spans="1:19">
      <c r="A31" s="232"/>
      <c r="B31" s="232"/>
      <c r="C31" s="232"/>
      <c r="D31" s="232"/>
      <c r="E31" s="232"/>
      <c r="F31" s="232"/>
      <c r="G31" s="232"/>
      <c r="H31" s="232"/>
      <c r="I31" s="232"/>
      <c r="J31" s="232"/>
      <c r="K31" s="232"/>
      <c r="L31" s="232"/>
      <c r="M31" s="233"/>
      <c r="N31" s="3"/>
      <c r="O31" s="3"/>
      <c r="P31" s="3"/>
    </row>
    <row r="32" spans="1:19">
      <c r="A32" s="232"/>
      <c r="B32" s="292" t="s">
        <v>253</v>
      </c>
      <c r="C32" s="281"/>
      <c r="D32" s="281"/>
      <c r="E32" s="281"/>
      <c r="F32" s="281"/>
      <c r="G32" s="281"/>
      <c r="H32" s="281"/>
      <c r="I32" s="281"/>
      <c r="J32" s="281"/>
      <c r="K32" s="281"/>
      <c r="L32" s="282"/>
      <c r="M32" s="233"/>
      <c r="N32" s="3"/>
      <c r="O32" s="3"/>
      <c r="P32" s="3"/>
    </row>
    <row r="33" spans="1:18" ht="13.5">
      <c r="A33" s="232"/>
      <c r="B33" s="295" t="s">
        <v>254</v>
      </c>
      <c r="C33" s="293"/>
      <c r="D33" s="293"/>
      <c r="E33" s="293"/>
      <c r="F33" s="293"/>
      <c r="G33" s="293"/>
      <c r="H33" s="293"/>
      <c r="I33" s="294"/>
      <c r="J33" s="294"/>
      <c r="K33" s="294"/>
      <c r="L33" s="296"/>
      <c r="M33" s="233"/>
      <c r="N33" s="3"/>
      <c r="O33" s="3"/>
      <c r="P33" s="3"/>
    </row>
    <row r="34" spans="1:18" ht="13.5">
      <c r="A34" s="232"/>
      <c r="B34" s="283" t="s">
        <v>255</v>
      </c>
      <c r="C34" s="284"/>
      <c r="D34" s="284"/>
      <c r="E34" s="284"/>
      <c r="F34" s="284"/>
      <c r="G34" s="284"/>
      <c r="H34" s="284"/>
      <c r="I34" s="285"/>
      <c r="J34" s="285"/>
      <c r="K34" s="285"/>
      <c r="L34" s="286"/>
      <c r="M34" s="233"/>
      <c r="N34" s="3"/>
      <c r="O34" s="3"/>
      <c r="P34" s="3"/>
    </row>
    <row r="35" spans="1:18" ht="13.5" thickBot="1">
      <c r="A35" s="239"/>
      <c r="B35" s="239"/>
      <c r="C35" s="239"/>
      <c r="D35" s="239"/>
      <c r="E35" s="239"/>
      <c r="F35" s="239"/>
      <c r="G35" s="239"/>
      <c r="H35" s="239"/>
      <c r="I35" s="239"/>
      <c r="J35" s="239"/>
      <c r="K35" s="239"/>
      <c r="L35" s="239"/>
      <c r="M35" s="240"/>
      <c r="N35" s="3"/>
      <c r="O35" s="3"/>
      <c r="P35" s="3"/>
    </row>
    <row r="36" spans="1:18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</row>
    <row r="37" spans="1:18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</row>
    <row r="38" spans="1:18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</row>
    <row r="39" spans="1:18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</row>
    <row r="40" spans="1:18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</row>
    <row r="41" spans="1:18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</row>
    <row r="42" spans="1:18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</row>
    <row r="43" spans="1:18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</row>
    <row r="44" spans="1:18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</row>
    <row r="45" spans="1:18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</row>
    <row r="46" spans="1:18">
      <c r="L46" s="15"/>
      <c r="M46" s="15"/>
      <c r="N46" s="15"/>
      <c r="O46" s="15"/>
      <c r="P46" s="15"/>
      <c r="Q46" s="15"/>
      <c r="R46" s="15"/>
    </row>
    <row r="47" spans="1:18">
      <c r="L47" s="15"/>
      <c r="M47" s="15"/>
      <c r="N47" s="15"/>
      <c r="O47" s="15"/>
      <c r="P47" s="15"/>
      <c r="Q47" s="15"/>
      <c r="R47" s="15"/>
    </row>
    <row r="48" spans="1:18">
      <c r="L48" s="15"/>
      <c r="M48" s="15"/>
      <c r="N48" s="15"/>
      <c r="O48" s="15"/>
      <c r="P48" s="15"/>
      <c r="Q48" s="15"/>
      <c r="R48" s="15"/>
    </row>
    <row r="49" spans="12:18">
      <c r="L49" s="15"/>
      <c r="M49" s="15"/>
      <c r="N49" s="15"/>
      <c r="O49" s="15"/>
      <c r="P49" s="15"/>
      <c r="Q49" s="15"/>
      <c r="R49" s="15"/>
    </row>
    <row r="50" spans="12:18">
      <c r="L50" s="15"/>
      <c r="M50" s="15"/>
      <c r="N50" s="15"/>
      <c r="O50" s="15"/>
      <c r="P50" s="15"/>
      <c r="Q50" s="15"/>
      <c r="R50" s="15"/>
    </row>
    <row r="51" spans="12:18">
      <c r="L51" s="15"/>
      <c r="M51" s="15"/>
      <c r="N51" s="15"/>
      <c r="O51" s="15"/>
      <c r="P51" s="15"/>
      <c r="Q51" s="15"/>
      <c r="R51" s="15"/>
    </row>
    <row r="52" spans="12:18">
      <c r="L52" s="15"/>
      <c r="M52" s="15"/>
      <c r="N52" s="15"/>
      <c r="O52" s="15"/>
      <c r="P52" s="15"/>
      <c r="Q52" s="15"/>
      <c r="R52" s="15"/>
    </row>
    <row r="53" spans="12:18">
      <c r="L53" s="15"/>
      <c r="M53" s="15"/>
      <c r="N53" s="15"/>
      <c r="O53" s="15"/>
      <c r="P53" s="15"/>
      <c r="Q53" s="15"/>
      <c r="R53" s="15"/>
    </row>
    <row r="54" spans="12:18">
      <c r="L54" s="15"/>
      <c r="M54" s="15"/>
      <c r="N54" s="15"/>
      <c r="O54" s="15"/>
      <c r="P54" s="15"/>
      <c r="Q54" s="15"/>
      <c r="R54" s="15"/>
    </row>
    <row r="55" spans="12:18">
      <c r="L55" s="15"/>
      <c r="M55" s="15"/>
      <c r="N55" s="15"/>
      <c r="O55" s="15"/>
      <c r="P55" s="15"/>
      <c r="Q55" s="15"/>
      <c r="R55" s="15"/>
    </row>
    <row r="56" spans="12:18">
      <c r="L56" s="15"/>
      <c r="M56" s="15"/>
      <c r="N56" s="15"/>
      <c r="O56" s="15"/>
      <c r="P56" s="15"/>
      <c r="Q56" s="15"/>
      <c r="R56" s="15"/>
    </row>
    <row r="57" spans="12:18">
      <c r="L57" s="15"/>
      <c r="M57" s="15"/>
      <c r="N57" s="15"/>
      <c r="O57" s="15"/>
      <c r="P57" s="15"/>
      <c r="Q57" s="15"/>
      <c r="R57" s="15"/>
    </row>
    <row r="58" spans="12:18">
      <c r="L58" s="15"/>
      <c r="M58" s="15"/>
      <c r="N58" s="15"/>
      <c r="O58" s="15"/>
      <c r="P58" s="15"/>
      <c r="Q58" s="15"/>
      <c r="R58" s="15"/>
    </row>
    <row r="59" spans="12:18">
      <c r="L59" s="15"/>
      <c r="M59" s="15"/>
      <c r="N59" s="15"/>
      <c r="O59" s="15"/>
      <c r="P59" s="15"/>
      <c r="Q59" s="15"/>
      <c r="R59" s="15"/>
    </row>
    <row r="60" spans="12:18">
      <c r="L60" s="15"/>
      <c r="M60" s="15"/>
      <c r="N60" s="15"/>
      <c r="O60" s="15"/>
      <c r="P60" s="15"/>
      <c r="Q60" s="15"/>
      <c r="R60" s="15"/>
    </row>
    <row r="61" spans="12:18">
      <c r="L61" s="15"/>
      <c r="M61" s="15"/>
      <c r="N61" s="15"/>
      <c r="O61" s="15"/>
      <c r="P61" s="15"/>
      <c r="Q61" s="15"/>
      <c r="R61" s="15"/>
    </row>
  </sheetData>
  <sheetProtection algorithmName="SHA-512" hashValue="dHv87vehoB85FPENCdi//8T6vfBoGYumAqAeJ3pmbhehtz9Fxk8FaORdIQtHs891VK1dSEK0OtA16tPNYKAi9Q==" saltValue="YyCkmAGx7uUVPjHbkN8h4A==" spinCount="100000" sheet="1" selectLockedCells="1"/>
  <customSheetViews>
    <customSheetView guid="{8B667783-ABB1-44FC-8E84-2FB0B35607A4}" showPageBreaks="1" printArea="1" topLeftCell="A13">
      <selection activeCell="G18" sqref="G18"/>
      <pageMargins left="0.75" right="0.75" top="1" bottom="1" header="0.5" footer="0.5"/>
      <printOptions horizontalCentered="1" verticalCentered="1" headings="1"/>
      <pageSetup orientation="landscape" r:id="rId1"/>
      <headerFooter alignWithMargins="0">
        <oddHeader>&amp;CExcel FS Budget for QA</oddHeader>
        <oddFooter>&amp;CWorksheet: Begin</oddFooter>
      </headerFooter>
    </customSheetView>
    <customSheetView guid="{3CED0DA5-B598-4FE7-9427-9FCE2EEF7FEF}" topLeftCell="A13">
      <selection activeCell="G18" sqref="G18"/>
      <pageMargins left="0.75" right="0.75" top="1" bottom="1" header="0.5" footer="0.5"/>
      <printOptions horizontalCentered="1" verticalCentered="1" headings="1"/>
      <pageSetup orientation="landscape" r:id="rId2"/>
      <headerFooter alignWithMargins="0">
        <oddHeader>&amp;CExcel FS Budget for QA</oddHeader>
        <oddFooter>&amp;CWorksheet: Begin</oddFooter>
      </headerFooter>
    </customSheetView>
  </customSheetViews>
  <mergeCells count="6">
    <mergeCell ref="E11:J11"/>
    <mergeCell ref="A1:M1"/>
    <mergeCell ref="A2:M2"/>
    <mergeCell ref="L4:M4"/>
    <mergeCell ref="L5:M5"/>
    <mergeCell ref="L6:M6"/>
  </mergeCells>
  <phoneticPr fontId="0" type="noConversion"/>
  <dataValidations xWindow="611" yWindow="588" count="6">
    <dataValidation type="decimal" operator="greaterThanOrEqual" allowBlank="1" showErrorMessage="1" promptTitle="Benefits Issued:" prompt="Enter amount of benefits already issued if calculating overissuance (O/I) or underissuance (U/I)." sqref="K11" xr:uid="{00000000-0002-0000-0000-000000000000}">
      <formula1>0</formula1>
    </dataValidation>
    <dataValidation allowBlank="1" showErrorMessage="1" promptTitle="Case Name:" prompt="Enter case name to be printed on DFA285B." sqref="E9" xr:uid="{00000000-0002-0000-0000-000001000000}"/>
    <dataValidation allowBlank="1" showErrorMessage="1" promptTitle="Case Number:" prompt="Enter case number to be printed on DFA285B." sqref="E10" xr:uid="{00000000-0002-0000-0000-000002000000}"/>
    <dataValidation operator="lessThan" allowBlank="1" showErrorMessage="1" errorTitle="Caseload Position Number:" error="Enter four-characher position number or leave blank." promptTitle="Caseload Position Number:" prompt="Enter caseload position number to be printed on DFA285B." sqref="K9" xr:uid="{00000000-0002-0000-0000-000003000000}"/>
    <dataValidation type="textLength" operator="lessThan" allowBlank="1" showErrorMessage="1" errorTitle="Budget Calculated by:" error="Enter four-characher position number or leave blank." promptTitle="Budget Calculated by:" prompt="Enter position number of person calculating budget._x000a_(This one cell is not erased when the Clear Data Button is clicked.)" sqref="K10" xr:uid="{00000000-0002-0000-0000-000004000000}">
      <formula1>5</formula1>
    </dataValidation>
    <dataValidation allowBlank="1" showErrorMessage="1" sqref="E17" xr:uid="{00000000-0002-0000-0000-000005000000}"/>
  </dataValidations>
  <printOptions horizontalCentered="1" verticalCentered="1" headings="1"/>
  <pageMargins left="0.75" right="0.75" top="1" bottom="1" header="0.5" footer="0.5"/>
  <pageSetup orientation="landscape" r:id="rId3"/>
  <headerFooter alignWithMargins="0">
    <oddHeader>&amp;CExcel FS Budget for QA</oddHeader>
    <oddFooter>&amp;CWorksheet: Begin</oddFoot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autoFill="0" autoLine="0" autoPict="0" macro="[0]!DFA_285B">
                <anchor moveWithCells="1" sizeWithCells="1">
                  <from>
                    <xdr:col>11</xdr:col>
                    <xdr:colOff>295275</xdr:colOff>
                    <xdr:row>7</xdr:row>
                    <xdr:rowOff>161925</xdr:rowOff>
                  </from>
                  <to>
                    <xdr:col>12</xdr:col>
                    <xdr:colOff>495300</xdr:colOff>
                    <xdr:row>11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92D050"/>
  </sheetPr>
  <dimension ref="A1:N69"/>
  <sheetViews>
    <sheetView zoomScale="140" zoomScaleNormal="140" workbookViewId="0">
      <selection activeCell="C7" sqref="C7"/>
    </sheetView>
  </sheetViews>
  <sheetFormatPr defaultColWidth="9.140625" defaultRowHeight="12.75"/>
  <cols>
    <col min="1" max="1" width="2" style="189" customWidth="1"/>
    <col min="2" max="2" width="36.7109375" style="189" customWidth="1"/>
    <col min="3" max="3" width="16.28515625" style="189" customWidth="1"/>
    <col min="4" max="4" width="9.85546875" style="189" customWidth="1"/>
    <col min="5" max="5" width="12.140625" style="189" customWidth="1"/>
    <col min="6" max="6" width="9.7109375" style="189" customWidth="1"/>
    <col min="7" max="7" width="11.28515625" style="189" customWidth="1"/>
    <col min="8" max="8" width="10.5703125" style="189" customWidth="1"/>
    <col min="9" max="9" width="14" style="189" customWidth="1"/>
    <col min="10" max="10" width="40" style="189" customWidth="1"/>
    <col min="11" max="11" width="34.42578125" style="189" customWidth="1"/>
    <col min="12" max="16384" width="9.140625" style="189"/>
  </cols>
  <sheetData>
    <row r="1" spans="1:14" ht="13.5" thickBot="1">
      <c r="A1" s="120"/>
      <c r="B1" s="514" t="s">
        <v>102</v>
      </c>
      <c r="C1" s="542">
        <v>1</v>
      </c>
      <c r="D1" s="543"/>
      <c r="E1" s="544"/>
      <c r="F1" s="544"/>
      <c r="G1" s="545" t="s">
        <v>7</v>
      </c>
      <c r="H1" s="545"/>
      <c r="I1" s="649" t="str">
        <f>IF(C2&gt;0,DATE(YEAR(C2),MONTH(C2)-IF(C1&gt;1,2,0),DAY(C2))," ")</f>
        <v xml:space="preserve"> </v>
      </c>
      <c r="J1" s="120"/>
      <c r="K1" s="131" t="s">
        <v>206</v>
      </c>
      <c r="L1" s="515">
        <v>35704</v>
      </c>
      <c r="M1" s="515">
        <v>36951</v>
      </c>
      <c r="N1" s="516"/>
    </row>
    <row r="2" spans="1:14" ht="13.5" thickBot="1">
      <c r="A2" s="120"/>
      <c r="B2" s="517" t="s">
        <v>218</v>
      </c>
      <c r="C2" s="623"/>
      <c r="D2" s="546"/>
      <c r="E2" s="547" t="s">
        <v>138</v>
      </c>
      <c r="F2" s="548" t="str">
        <f>IF(ISBLANK(C2)," ",IF(ISNA(HLOOKUP(C2,B_Cons,2)),"Excel Budget Not Valid for This Month",IF(AND(C1=2,C4&gt;1,NOT(C5=1)),"Elig_Data Tab for Eligibility Computation"," ")))</f>
        <v xml:space="preserve"> </v>
      </c>
      <c r="G2" s="549"/>
      <c r="H2" s="550"/>
      <c r="I2" s="549"/>
      <c r="J2" s="120"/>
      <c r="K2" s="131"/>
      <c r="L2" s="518">
        <v>0</v>
      </c>
      <c r="M2" s="518">
        <v>340</v>
      </c>
      <c r="N2" s="519"/>
    </row>
    <row r="3" spans="1:14" ht="13.5" thickBot="1">
      <c r="A3" s="120"/>
      <c r="B3" s="520" t="s">
        <v>281</v>
      </c>
      <c r="C3" s="542"/>
      <c r="D3" s="543"/>
      <c r="E3" s="551" t="s">
        <v>147</v>
      </c>
      <c r="F3" s="552" t="s">
        <v>113</v>
      </c>
      <c r="G3" s="553"/>
      <c r="H3" s="554" t="s">
        <v>114</v>
      </c>
      <c r="I3" s="555" t="str">
        <f>IF(AND(ISNUMBER(G3),ISNUMBER(C2)),DATE(YEAR(C2),MONTH(C2)+1,1)-DATE(YEAR(C2),MONTH(C2),1)," ")</f>
        <v xml:space="preserve"> </v>
      </c>
      <c r="J3" s="120"/>
      <c r="K3" s="131"/>
      <c r="L3" s="518">
        <v>0</v>
      </c>
      <c r="M3" s="518">
        <v>354</v>
      </c>
      <c r="N3" s="519"/>
    </row>
    <row r="4" spans="1:14" ht="13.5" thickBot="1">
      <c r="A4" s="120"/>
      <c r="B4" s="521" t="s">
        <v>383</v>
      </c>
      <c r="C4" s="542"/>
      <c r="D4" s="543"/>
      <c r="E4" s="543"/>
      <c r="F4" s="556" t="s">
        <v>111</v>
      </c>
      <c r="G4" s="557"/>
      <c r="H4" s="558"/>
      <c r="I4" s="559"/>
      <c r="J4" s="523" t="s">
        <v>368</v>
      </c>
      <c r="K4" s="232"/>
      <c r="L4" s="232"/>
      <c r="M4" s="232"/>
      <c r="N4" s="232"/>
    </row>
    <row r="5" spans="1:14" ht="13.5" thickBot="1">
      <c r="A5" s="120"/>
      <c r="B5" s="520" t="s">
        <v>316</v>
      </c>
      <c r="C5" s="542"/>
      <c r="D5" s="684" t="e">
        <f>Sheet2!L16</f>
        <v>#DIV/0!</v>
      </c>
      <c r="E5" s="685"/>
      <c r="F5" s="560" t="s">
        <v>112</v>
      </c>
      <c r="G5" s="561"/>
      <c r="H5" s="562"/>
      <c r="I5" s="563"/>
      <c r="J5" s="524" t="s">
        <v>367</v>
      </c>
      <c r="K5" s="131" t="s">
        <v>233</v>
      </c>
      <c r="L5" s="525">
        <v>37530</v>
      </c>
      <c r="M5" s="232"/>
      <c r="N5" s="232"/>
    </row>
    <row r="6" spans="1:14" ht="17.25" thickTop="1" thickBot="1">
      <c r="A6" s="120"/>
      <c r="B6" s="513" t="e">
        <f>Sheet2!J17</f>
        <v>#N/A</v>
      </c>
      <c r="C6" s="564"/>
      <c r="D6" s="565"/>
      <c r="E6" s="565"/>
      <c r="F6" s="566" t="s">
        <v>161</v>
      </c>
      <c r="G6" s="567"/>
      <c r="H6" s="568" t="s">
        <v>163</v>
      </c>
      <c r="I6" s="569"/>
      <c r="J6" s="120"/>
      <c r="K6" s="131" t="s">
        <v>234</v>
      </c>
      <c r="L6" s="525">
        <v>37591</v>
      </c>
      <c r="M6" s="232"/>
      <c r="N6" s="232"/>
    </row>
    <row r="7" spans="1:14" ht="15" thickBot="1">
      <c r="A7" s="120"/>
      <c r="B7" s="222" t="s">
        <v>103</v>
      </c>
      <c r="C7" s="570"/>
      <c r="D7" s="571"/>
      <c r="E7" s="571"/>
      <c r="F7" s="572"/>
      <c r="G7" s="572"/>
      <c r="H7" s="573">
        <f>IF(OR('Ex-CFAP'!C3&gt;0,'Ex-CFAP'!D3&gt;0),'Ex-CFAP'!D7+'Ex-CFAP'!C7*Data!C3/(Data!C3+'Ex-CFAP'!C3),0)</f>
        <v>0</v>
      </c>
      <c r="I7" s="574">
        <f>SUM(C7:H7)</f>
        <v>0</v>
      </c>
      <c r="J7" s="120"/>
      <c r="K7" s="131" t="s">
        <v>235</v>
      </c>
      <c r="L7" s="131" t="b">
        <f>OR(AND(SUM(C1)=1,C2&gt;=L5),AND(SUM(C1)=2,C2&gt;=L6))</f>
        <v>0</v>
      </c>
      <c r="M7" s="232"/>
      <c r="N7" s="232"/>
    </row>
    <row r="8" spans="1:14" ht="15" thickBot="1">
      <c r="A8" s="120"/>
      <c r="B8" s="514" t="s">
        <v>152</v>
      </c>
      <c r="C8" s="570"/>
      <c r="D8" s="570"/>
      <c r="E8" s="615">
        <f>IF(D8&lt;0,0,C8*-0.4)</f>
        <v>0</v>
      </c>
      <c r="F8" s="572"/>
      <c r="G8" s="570"/>
      <c r="H8" s="575" t="s">
        <v>123</v>
      </c>
      <c r="I8" s="576">
        <f>IF(SUM(C8:H8)&gt;0,SUM(C8:H8),0)</f>
        <v>0</v>
      </c>
      <c r="J8" s="120"/>
      <c r="K8" s="232"/>
      <c r="L8" s="232"/>
      <c r="M8" s="232"/>
      <c r="N8" s="232"/>
    </row>
    <row r="9" spans="1:14" ht="13.5" thickBot="1">
      <c r="A9" s="120"/>
      <c r="B9" s="526" t="s">
        <v>104</v>
      </c>
      <c r="C9" s="572"/>
      <c r="D9" s="577"/>
      <c r="E9" s="572"/>
      <c r="F9" s="572"/>
      <c r="G9" s="572"/>
      <c r="H9" s="575" t="s">
        <v>105</v>
      </c>
      <c r="I9" s="578">
        <f>SUM(C9:H9)</f>
        <v>0</v>
      </c>
      <c r="J9" s="120"/>
      <c r="K9" s="232"/>
      <c r="L9" s="232"/>
      <c r="M9" s="232"/>
      <c r="N9" s="232"/>
    </row>
    <row r="10" spans="1:14" ht="15" thickBot="1">
      <c r="A10" s="120"/>
      <c r="B10" s="222" t="s">
        <v>105</v>
      </c>
      <c r="C10" s="570"/>
      <c r="D10" s="570"/>
      <c r="E10" s="572"/>
      <c r="F10" s="572"/>
      <c r="G10" s="572"/>
      <c r="H10" s="579">
        <f>-Ex_Aid!G10</f>
        <v>0</v>
      </c>
      <c r="I10" s="580">
        <f t="shared" ref="I10:I19" si="0">SUM(C10:H10)</f>
        <v>0</v>
      </c>
      <c r="J10" s="120"/>
      <c r="K10" s="232"/>
      <c r="L10" s="232"/>
      <c r="M10" s="232"/>
      <c r="N10" s="232"/>
    </row>
    <row r="11" spans="1:14" ht="15" thickBot="1">
      <c r="A11" s="120"/>
      <c r="B11" s="222" t="s">
        <v>106</v>
      </c>
      <c r="C11" s="570"/>
      <c r="D11" s="570"/>
      <c r="E11" s="570"/>
      <c r="F11" s="570"/>
      <c r="G11" s="570"/>
      <c r="H11" s="581"/>
      <c r="I11" s="580">
        <f>SUM(C11:H11)</f>
        <v>0</v>
      </c>
      <c r="J11" s="120"/>
      <c r="K11" s="232"/>
      <c r="L11" s="232"/>
      <c r="M11" s="232"/>
      <c r="N11" s="232"/>
    </row>
    <row r="12" spans="1:14" ht="15" thickBot="1">
      <c r="A12" s="120"/>
      <c r="B12" s="527" t="s">
        <v>276</v>
      </c>
      <c r="C12" s="570"/>
      <c r="D12" s="570"/>
      <c r="E12" s="570"/>
      <c r="F12" s="572"/>
      <c r="G12" s="572"/>
      <c r="H12" s="575"/>
      <c r="I12" s="580">
        <f>SUM(C12:H12)</f>
        <v>0</v>
      </c>
      <c r="J12" s="120"/>
      <c r="K12" s="129" t="s">
        <v>209</v>
      </c>
      <c r="L12" s="130"/>
      <c r="M12" s="232"/>
      <c r="N12" s="232"/>
    </row>
    <row r="13" spans="1:14" ht="15" thickBot="1">
      <c r="A13" s="120"/>
      <c r="B13" s="514" t="s">
        <v>108</v>
      </c>
      <c r="C13" s="570"/>
      <c r="D13" s="577"/>
      <c r="E13" s="572"/>
      <c r="F13" s="572"/>
      <c r="G13" s="572"/>
      <c r="H13" s="575" t="s">
        <v>164</v>
      </c>
      <c r="I13" s="580">
        <f t="shared" si="0"/>
        <v>0</v>
      </c>
      <c r="J13" s="120"/>
      <c r="K13" s="131" t="s">
        <v>207</v>
      </c>
      <c r="L13" s="518">
        <f>IF(F20&gt;=L1,HLOOKUP(F20,MSO,HLOOKUP(C2,MOS,2)),0)</f>
        <v>0</v>
      </c>
      <c r="M13" s="232"/>
      <c r="N13" s="232"/>
    </row>
    <row r="14" spans="1:14" ht="15" thickBot="1">
      <c r="A14" s="120"/>
      <c r="B14" s="528" t="s">
        <v>287</v>
      </c>
      <c r="C14" s="570"/>
      <c r="D14" s="577"/>
      <c r="E14" s="572"/>
      <c r="F14" s="572"/>
      <c r="G14" s="572"/>
      <c r="H14" s="582">
        <f>IF(OR('Ex-CFAP'!C3&gt;0,'Ex-CFAP'!D3&gt;0),'Ex-CFAP'!D10+'Ex-CFAP'!C10*Data!C3/(Data!C3+'Ex-CFAP'!C3),0)</f>
        <v>0</v>
      </c>
      <c r="I14" s="580">
        <f t="shared" si="0"/>
        <v>0</v>
      </c>
      <c r="J14" s="529"/>
      <c r="K14" s="131" t="s">
        <v>208</v>
      </c>
      <c r="L14" s="518">
        <f>IF(C2&gt;=L1,HLOOKUP(C2,B_Cons,7),0)</f>
        <v>0</v>
      </c>
      <c r="M14" s="232"/>
      <c r="N14" s="232"/>
    </row>
    <row r="15" spans="1:14" ht="12" customHeight="1" thickBot="1">
      <c r="A15" s="120"/>
      <c r="B15" s="120"/>
      <c r="C15" s="583"/>
      <c r="D15" s="583"/>
      <c r="E15" s="544"/>
      <c r="F15" s="544"/>
      <c r="G15" s="544"/>
      <c r="H15" s="584"/>
      <c r="I15" s="585">
        <f>SUM(I7:I14)</f>
        <v>0</v>
      </c>
      <c r="J15" s="120">
        <v>1</v>
      </c>
      <c r="K15" s="530"/>
      <c r="L15" s="530"/>
      <c r="M15" s="232"/>
      <c r="N15" s="232"/>
    </row>
    <row r="16" spans="1:14" ht="13.5" thickBot="1">
      <c r="A16" s="120"/>
      <c r="B16" s="531" t="s">
        <v>110</v>
      </c>
      <c r="C16" s="586"/>
      <c r="D16" s="586"/>
      <c r="E16" s="586"/>
      <c r="F16" s="586"/>
      <c r="G16" s="586"/>
      <c r="H16" s="587"/>
      <c r="I16" s="580">
        <f t="shared" si="0"/>
        <v>0</v>
      </c>
      <c r="J16" s="120"/>
      <c r="K16" s="232"/>
      <c r="L16" s="232"/>
      <c r="M16" s="232"/>
      <c r="N16" s="232"/>
    </row>
    <row r="17" spans="1:14" ht="15" thickBot="1">
      <c r="A17" s="120"/>
      <c r="B17" s="532" t="s">
        <v>272</v>
      </c>
      <c r="C17" s="622" t="e">
        <f>'Dep Care Calc'!C12</f>
        <v>#DIV/0!</v>
      </c>
      <c r="D17" s="570"/>
      <c r="E17" s="572"/>
      <c r="F17" s="588"/>
      <c r="G17" s="572"/>
      <c r="H17" s="589"/>
      <c r="I17" s="580" t="e">
        <f t="shared" si="0"/>
        <v>#DIV/0!</v>
      </c>
      <c r="J17" s="120"/>
      <c r="K17" s="131" t="s">
        <v>215</v>
      </c>
      <c r="L17" s="515">
        <v>35704</v>
      </c>
      <c r="M17" s="515">
        <v>37165</v>
      </c>
      <c r="N17" s="232"/>
    </row>
    <row r="18" spans="1:14" ht="13.5" thickBot="1">
      <c r="A18" s="120"/>
      <c r="B18" s="520" t="s">
        <v>343</v>
      </c>
      <c r="C18" s="590"/>
      <c r="D18" s="590"/>
      <c r="E18" s="590"/>
      <c r="F18" s="590"/>
      <c r="G18" s="591">
        <f>C18+D18+E18+F18</f>
        <v>0</v>
      </c>
      <c r="H18" s="589"/>
      <c r="I18" s="590">
        <f>IF(C2&gt;C53,C54,D54)</f>
        <v>-35</v>
      </c>
      <c r="J18" s="120"/>
      <c r="K18" s="131"/>
      <c r="L18" s="131">
        <v>2</v>
      </c>
      <c r="M18" s="131">
        <v>3</v>
      </c>
      <c r="N18" s="232"/>
    </row>
    <row r="19" spans="1:14" ht="15" thickBot="1">
      <c r="A19" s="120"/>
      <c r="B19" s="514" t="s">
        <v>300</v>
      </c>
      <c r="C19" s="570"/>
      <c r="D19" s="572"/>
      <c r="E19" s="572"/>
      <c r="F19" s="572"/>
      <c r="G19" s="572"/>
      <c r="H19" s="589"/>
      <c r="I19" s="580">
        <f t="shared" si="0"/>
        <v>0</v>
      </c>
      <c r="J19" s="120"/>
      <c r="K19" s="232"/>
      <c r="L19" s="232"/>
      <c r="M19" s="232"/>
      <c r="N19" s="232"/>
    </row>
    <row r="20" spans="1:14" ht="14.25" thickTop="1" thickBot="1">
      <c r="A20" s="120"/>
      <c r="B20" s="522" t="s">
        <v>109</v>
      </c>
      <c r="C20" s="592"/>
      <c r="D20" s="593"/>
      <c r="E20" s="594" t="s">
        <v>210</v>
      </c>
      <c r="F20" s="595"/>
      <c r="G20" s="596" t="s">
        <v>205</v>
      </c>
      <c r="H20" s="597">
        <f>L14</f>
        <v>0</v>
      </c>
      <c r="I20" s="612" t="str">
        <f>IF(SUM(C20)=1,HLOOKUP(C2,B_Cons,6),"N/A")</f>
        <v>N/A</v>
      </c>
      <c r="J20" s="120"/>
      <c r="K20" s="533" t="s">
        <v>216</v>
      </c>
      <c r="L20" s="534"/>
      <c r="M20" s="232"/>
      <c r="N20" s="232"/>
    </row>
    <row r="21" spans="1:14" ht="15" thickBot="1">
      <c r="A21" s="120"/>
      <c r="B21" s="222" t="s">
        <v>224</v>
      </c>
      <c r="C21" s="570"/>
      <c r="D21" s="598"/>
      <c r="E21" s="598"/>
      <c r="F21" s="598"/>
      <c r="G21" s="598"/>
      <c r="H21" s="589"/>
      <c r="I21" s="580">
        <f>IF(SUM(C20)=1,"N/A",SUM(C21:H21))</f>
        <v>0</v>
      </c>
      <c r="J21" s="120"/>
      <c r="K21" s="535" t="s">
        <v>211</v>
      </c>
      <c r="L21" s="536"/>
      <c r="M21" s="232"/>
      <c r="N21" s="232"/>
    </row>
    <row r="22" spans="1:14" ht="13.5" thickBot="1">
      <c r="A22" s="120"/>
      <c r="B22" s="520" t="s">
        <v>347</v>
      </c>
      <c r="C22" s="599"/>
      <c r="D22" s="600"/>
      <c r="E22" s="572"/>
      <c r="F22" s="601"/>
      <c r="G22" s="572"/>
      <c r="H22" s="589"/>
      <c r="I22" s="602">
        <f>C60+D60</f>
        <v>0</v>
      </c>
      <c r="J22" s="120"/>
      <c r="K22" s="535" t="s">
        <v>212</v>
      </c>
      <c r="L22" s="536"/>
      <c r="M22" s="232"/>
      <c r="N22" s="232"/>
    </row>
    <row r="23" spans="1:14" ht="13.5" thickBot="1">
      <c r="A23" s="120"/>
      <c r="B23" s="120"/>
      <c r="C23" s="603" t="s">
        <v>166</v>
      </c>
      <c r="D23" s="604"/>
      <c r="E23" s="604"/>
      <c r="F23" s="605"/>
      <c r="G23" s="605"/>
      <c r="H23" s="606"/>
      <c r="I23" s="544"/>
      <c r="J23" s="120"/>
      <c r="K23" s="535" t="s">
        <v>213</v>
      </c>
      <c r="L23" s="536"/>
      <c r="M23" s="232"/>
      <c r="N23" s="232"/>
    </row>
    <row r="24" spans="1:14" ht="3.75" customHeight="1" thickTop="1" thickBot="1">
      <c r="A24" s="120"/>
      <c r="B24" s="120"/>
      <c r="C24" s="544"/>
      <c r="D24" s="544"/>
      <c r="E24" s="544"/>
      <c r="F24" s="544"/>
      <c r="G24" s="544"/>
      <c r="H24" s="544"/>
      <c r="I24" s="544"/>
      <c r="J24" s="120"/>
      <c r="K24" s="535"/>
      <c r="L24" s="536"/>
      <c r="M24" s="232"/>
      <c r="N24" s="232"/>
    </row>
    <row r="25" spans="1:14" ht="13.5" thickBot="1">
      <c r="A25" s="120"/>
      <c r="B25" s="717" t="e">
        <f>IF(C26=C27,"Correct Case",IF(C28&lt;=56,"Within Error Threshold",IF(C28&gt;56,"Error Case"," ")))</f>
        <v>#N/A</v>
      </c>
      <c r="C25" s="718">
        <f>'Ex-CFAP'!W4</f>
        <v>0</v>
      </c>
      <c r="D25" s="716" t="s">
        <v>384</v>
      </c>
      <c r="E25" s="682"/>
      <c r="F25" s="682"/>
      <c r="G25" s="682"/>
      <c r="H25" s="682"/>
      <c r="I25" s="683"/>
      <c r="J25" s="120"/>
      <c r="K25" s="535"/>
      <c r="L25" s="536"/>
      <c r="M25" s="232"/>
      <c r="N25" s="232"/>
    </row>
    <row r="26" spans="1:14">
      <c r="A26" s="120"/>
      <c r="B26" s="719" t="s">
        <v>201</v>
      </c>
      <c r="C26" s="720">
        <f>Begin!K11</f>
        <v>0</v>
      </c>
      <c r="D26" s="716"/>
      <c r="E26" s="682"/>
      <c r="F26" s="682"/>
      <c r="G26" s="682"/>
      <c r="H26" s="682"/>
      <c r="I26" s="683"/>
      <c r="J26" s="120"/>
      <c r="K26" s="535"/>
      <c r="L26" s="536"/>
      <c r="M26" s="232"/>
      <c r="N26" s="232"/>
    </row>
    <row r="27" spans="1:14">
      <c r="A27" s="120"/>
      <c r="B27" s="721" t="s">
        <v>203</v>
      </c>
      <c r="C27" s="722" t="e">
        <f>IF(C45="No", 0,Results!G20)</f>
        <v>#N/A</v>
      </c>
      <c r="D27" s="712"/>
      <c r="E27" s="713"/>
      <c r="F27" s="713"/>
      <c r="G27" s="714"/>
      <c r="H27" s="544"/>
      <c r="I27" s="544"/>
      <c r="J27" s="120"/>
      <c r="K27" s="535"/>
      <c r="L27" s="536"/>
      <c r="M27" s="232"/>
      <c r="N27" s="232"/>
    </row>
    <row r="28" spans="1:14" ht="13.5" thickBot="1">
      <c r="A28" s="120"/>
      <c r="B28" s="723" t="e">
        <f>"Error Amount: "&amp;IF(SUM(C26)-SUM(C27)&lt;0,"(U/I)",IF(SUM(C26)-SUM(C27)&gt;0,"(O/I)"," "))</f>
        <v>#N/A</v>
      </c>
      <c r="C28" s="724" t="e">
        <f>Results!G21</f>
        <v>#N/A</v>
      </c>
      <c r="D28"/>
      <c r="E28"/>
      <c r="F28"/>
      <c r="G28"/>
      <c r="H28" s="607" t="s">
        <v>311</v>
      </c>
      <c r="I28" s="544"/>
      <c r="J28" s="120"/>
      <c r="K28" s="535" t="s">
        <v>214</v>
      </c>
      <c r="L28" s="536"/>
      <c r="M28" s="232"/>
      <c r="N28" s="232"/>
    </row>
    <row r="29" spans="1:14" ht="3.75" customHeight="1">
      <c r="C29" s="430"/>
      <c r="D29" s="430"/>
      <c r="E29" s="608"/>
      <c r="F29" s="430"/>
      <c r="G29" s="430"/>
      <c r="H29" s="430"/>
      <c r="I29" s="430"/>
    </row>
    <row r="30" spans="1:14">
      <c r="B30" s="538" t="s">
        <v>271</v>
      </c>
      <c r="C30" s="609"/>
      <c r="D30" s="646"/>
      <c r="E30" s="646"/>
      <c r="F30" s="610" t="s">
        <v>315</v>
      </c>
      <c r="G30" s="430"/>
      <c r="H30" s="430"/>
      <c r="I30" s="430"/>
      <c r="J30" s="502" t="str">
        <f>IF(C67&gt;1,"Too Much Utilily Cost Allowed."," ")</f>
        <v xml:space="preserve"> </v>
      </c>
    </row>
    <row r="31" spans="1:14" ht="13.5" customHeight="1">
      <c r="B31" s="538" t="s">
        <v>403</v>
      </c>
      <c r="C31" s="430"/>
      <c r="D31" s="430"/>
      <c r="E31" s="430"/>
      <c r="F31" s="430"/>
      <c r="G31" s="430"/>
      <c r="H31" s="430"/>
      <c r="I31" s="430"/>
    </row>
    <row r="32" spans="1:14" ht="13.5" customHeight="1">
      <c r="C32" s="611"/>
      <c r="D32" s="430"/>
      <c r="E32" s="608"/>
      <c r="F32" s="646"/>
      <c r="G32" s="430"/>
      <c r="H32" s="430"/>
      <c r="I32" s="430"/>
    </row>
    <row r="38" spans="3:8">
      <c r="F38" s="715"/>
    </row>
    <row r="45" spans="3:8">
      <c r="C45" s="539" t="str">
        <f>Results!D3</f>
        <v xml:space="preserve"> </v>
      </c>
      <c r="D45" s="432">
        <v>0</v>
      </c>
    </row>
    <row r="46" spans="3:8" ht="13.5" customHeight="1">
      <c r="C46" s="432" t="e">
        <f>IF(AND(C3&gt;2,Sheet2!M14&gt;0),0,Results!G20)</f>
        <v>#DIV/0!</v>
      </c>
      <c r="D46" s="432" t="e">
        <f>IF(Sheet2!I21&gt;0,0," ")</f>
        <v>#N/A</v>
      </c>
      <c r="E46" s="540"/>
      <c r="H46" s="432" t="e">
        <f>IF(C5=1,Results!G9,Data!C48)</f>
        <v>#DIV/0!</v>
      </c>
    </row>
    <row r="47" spans="3:8">
      <c r="E47" s="537"/>
    </row>
    <row r="48" spans="3:8">
      <c r="C48" s="432" t="e">
        <f>MIN(C46,D46)</f>
        <v>#DIV/0!</v>
      </c>
      <c r="E48" s="432"/>
    </row>
    <row r="49" spans="2:5">
      <c r="D49" s="537"/>
      <c r="E49" s="537"/>
    </row>
    <row r="50" spans="2:5" ht="14.25" customHeight="1">
      <c r="C50" s="537" t="e">
        <f>B6</f>
        <v>#N/A</v>
      </c>
      <c r="D50" s="537"/>
      <c r="E50" s="537"/>
    </row>
    <row r="51" spans="2:5" ht="14.25" customHeight="1">
      <c r="B51" s="191"/>
      <c r="C51" s="537"/>
      <c r="D51" s="537"/>
      <c r="E51" s="537"/>
    </row>
    <row r="52" spans="2:5" ht="14.25" customHeight="1">
      <c r="C52" s="537">
        <f>C6</f>
        <v>0</v>
      </c>
      <c r="D52" s="537"/>
      <c r="E52" s="537"/>
    </row>
    <row r="53" spans="2:5" ht="14.25" customHeight="1">
      <c r="C53" s="541">
        <v>43008</v>
      </c>
      <c r="D53" s="537">
        <f>SUM(C18:F18)</f>
        <v>0</v>
      </c>
      <c r="E53" s="537"/>
    </row>
    <row r="54" spans="2:5" ht="14.25" customHeight="1">
      <c r="C54" s="537">
        <f>IF(G18&lt;35.01,0,IF(G18&gt;155,G18-35,120))</f>
        <v>0</v>
      </c>
      <c r="D54" s="537">
        <f>D53-35</f>
        <v>-35</v>
      </c>
    </row>
    <row r="55" spans="2:5" ht="14.25" customHeight="1"/>
    <row r="56" spans="2:5" ht="14.25" customHeight="1"/>
    <row r="57" spans="2:5" ht="14.25" customHeight="1"/>
    <row r="58" spans="2:5" ht="14.25" customHeight="1"/>
    <row r="59" spans="2:5" ht="14.25" customHeight="1"/>
    <row r="60" spans="2:5" ht="14.25" customHeight="1">
      <c r="B60" s="372" t="s">
        <v>439</v>
      </c>
      <c r="C60" s="189" t="str">
        <f>IF(C22="SUA",596,IF(C22="suas",596,IF(C22="TUA",19,IF(C22="LUA",158,"0.00"))))</f>
        <v>0.00</v>
      </c>
      <c r="D60" s="189">
        <f>IF(SUM(C20)=1,"N/A",IF(D22=0.01,HLOOKUP(C2,B_Cons,9),SUM(C22:H22)))</f>
        <v>0</v>
      </c>
    </row>
    <row r="61" spans="2:5" ht="14.25" customHeight="1"/>
    <row r="62" spans="2:5" ht="14.25" customHeight="1">
      <c r="C62" s="189">
        <f>IF(C22&gt;0,1,0)</f>
        <v>0</v>
      </c>
    </row>
    <row r="63" spans="2:5" ht="14.25" customHeight="1">
      <c r="C63" s="189">
        <f>IF(D22&gt;0,1,0)</f>
        <v>0</v>
      </c>
    </row>
    <row r="64" spans="2:5" ht="14.25" customHeight="1">
      <c r="C64" s="189">
        <f>IF(E22&gt;0,1,0)</f>
        <v>0</v>
      </c>
    </row>
    <row r="65" spans="3:3" ht="14.25" customHeight="1">
      <c r="C65" s="189">
        <f>IF(F22&gt;0,1,0)</f>
        <v>0</v>
      </c>
    </row>
    <row r="66" spans="3:3" ht="14.25" customHeight="1">
      <c r="C66" s="189">
        <f>IF(G22&gt;0,1,0)</f>
        <v>0</v>
      </c>
    </row>
    <row r="67" spans="3:3" ht="14.25" customHeight="1">
      <c r="C67" s="189">
        <f>SUM(C62:C66)</f>
        <v>0</v>
      </c>
    </row>
    <row r="68" spans="3:3" ht="14.25" customHeight="1"/>
    <row r="69" spans="3:3" ht="14.25" customHeight="1"/>
  </sheetData>
  <sheetProtection algorithmName="SHA-512" hashValue="KEPKV/7evlWRHqwR3Yf6mJVs5bAeVi/4FOer6t6iFNhUbTMm7EX1soMhWP1+xwW7uo+7N1vEAzpS9t+HB3VNzw==" saltValue="A0H1AuhIqf9kfU4t+KWnBg==" spinCount="100000" sheet="1" formatCells="0" selectLockedCells="1"/>
  <protectedRanges>
    <protectedRange password="DE5B" sqref="C19" name="Range1"/>
  </protectedRanges>
  <customSheetViews>
    <customSheetView guid="{8B667783-ABB1-44FC-8E84-2FB0B35607A4}" showPageBreaks="1" printArea="1">
      <selection activeCell="G18" sqref="G18"/>
      <pageMargins left="0.75" right="0.75" top="1" bottom="1" header="0.5" footer="0.5"/>
      <printOptions horizontalCentered="1" verticalCentered="1" headings="1"/>
      <pageSetup orientation="landscape" r:id="rId1"/>
      <headerFooter alignWithMargins="0">
        <oddHeader>&amp;CExcel FS Budget for QA</oddHeader>
        <oddFooter>&amp;CWorksheet: Data</oddFooter>
      </headerFooter>
    </customSheetView>
    <customSheetView guid="{3CED0DA5-B598-4FE7-9427-9FCE2EEF7FEF}">
      <selection activeCell="G18" sqref="G18"/>
      <pageMargins left="0.75" right="0.75" top="1" bottom="1" header="0.5" footer="0.5"/>
      <printOptions horizontalCentered="1" verticalCentered="1" headings="1"/>
      <pageSetup orientation="landscape" r:id="rId2"/>
      <headerFooter alignWithMargins="0">
        <oddHeader>&amp;CExcel FS Budget for QA</oddHeader>
        <oddFooter>&amp;CWorksheet: Data</oddFooter>
      </headerFooter>
    </customSheetView>
  </customSheetViews>
  <mergeCells count="4">
    <mergeCell ref="D27:G27"/>
    <mergeCell ref="D25:I25"/>
    <mergeCell ref="D26:I26"/>
    <mergeCell ref="D5:E5"/>
  </mergeCells>
  <phoneticPr fontId="0" type="noConversion"/>
  <conditionalFormatting sqref="F2">
    <cfRule type="expression" dxfId="22" priority="55" stopIfTrue="1">
      <formula>F2&lt;&gt;" "</formula>
    </cfRule>
  </conditionalFormatting>
  <conditionalFormatting sqref="G2:I2">
    <cfRule type="expression" dxfId="21" priority="56" stopIfTrue="1">
      <formula>$F$2&lt;&gt;" "</formula>
    </cfRule>
  </conditionalFormatting>
  <conditionalFormatting sqref="D18:G18">
    <cfRule type="expression" dxfId="20" priority="58" stopIfTrue="1">
      <formula>$C$5&lt;&gt;1</formula>
    </cfRule>
    <cfRule type="expression" dxfId="19" priority="59" stopIfTrue="1">
      <formula>$C$5=1</formula>
    </cfRule>
  </conditionalFormatting>
  <conditionalFormatting sqref="E21:G21">
    <cfRule type="expression" dxfId="18" priority="60" stopIfTrue="1">
      <formula>SUM($C$20)=1</formula>
    </cfRule>
  </conditionalFormatting>
  <conditionalFormatting sqref="F20">
    <cfRule type="expression" dxfId="17" priority="61" stopIfTrue="1">
      <formula>AND($F$20&gt;$C$2,NOT(AND(MONTH($C$2)=MONTH($F$20),YEAR($C$2)=YEAR($F$20))))</formula>
    </cfRule>
    <cfRule type="expression" dxfId="16" priority="62" stopIfTrue="1">
      <formula>AND(DATE(YEAR($C$2),MONTH(C2),1)&gt;DATE(YEAR($F$20),MONTH(F20),1)+366,$F$20&gt;=35704)</formula>
    </cfRule>
  </conditionalFormatting>
  <conditionalFormatting sqref="D22:G22">
    <cfRule type="expression" dxfId="15" priority="63" stopIfTrue="1">
      <formula>OR(SUM($C$20)=1,SUM($C$22)=0.01)</formula>
    </cfRule>
  </conditionalFormatting>
  <conditionalFormatting sqref="I5 J4">
    <cfRule type="expression" dxfId="14" priority="64" stopIfTrue="1">
      <formula>AND($I$5&gt;0,$L$7)</formula>
    </cfRule>
  </conditionalFormatting>
  <conditionalFormatting sqref="D26">
    <cfRule type="expression" dxfId="13" priority="54" stopIfTrue="1">
      <formula>SUM($C$20)=1</formula>
    </cfRule>
  </conditionalFormatting>
  <conditionalFormatting sqref="D25">
    <cfRule type="expression" dxfId="12" priority="52" stopIfTrue="1">
      <formula>SUM($C$20)=1</formula>
    </cfRule>
  </conditionalFormatting>
  <conditionalFormatting sqref="B30">
    <cfRule type="expression" dxfId="11" priority="51" stopIfTrue="1">
      <formula>AND($I$5&gt;0,$L$7)</formula>
    </cfRule>
  </conditionalFormatting>
  <conditionalFormatting sqref="J5">
    <cfRule type="expression" dxfId="10" priority="50" stopIfTrue="1">
      <formula>AND($I$5&gt;0,$L$7)</formula>
    </cfRule>
  </conditionalFormatting>
  <conditionalFormatting sqref="I18">
    <cfRule type="expression" dxfId="9" priority="46" stopIfTrue="1">
      <formula>$C$5&lt;&gt;1</formula>
    </cfRule>
    <cfRule type="expression" dxfId="8" priority="47" stopIfTrue="1">
      <formula>$C$5=1</formula>
    </cfRule>
  </conditionalFormatting>
  <conditionalFormatting sqref="C22">
    <cfRule type="expression" dxfId="7" priority="40" stopIfTrue="1">
      <formula>OR(SUM($C$20)=1,SUM($C$22)=0.01)</formula>
    </cfRule>
  </conditionalFormatting>
  <conditionalFormatting sqref="D21">
    <cfRule type="expression" dxfId="6" priority="14" stopIfTrue="1">
      <formula>SUM($C$20)=1</formula>
    </cfRule>
  </conditionalFormatting>
  <conditionalFormatting sqref="B31">
    <cfRule type="expression" dxfId="5" priority="13" stopIfTrue="1">
      <formula>AND($I$5&gt;0,$L$7)</formula>
    </cfRule>
  </conditionalFormatting>
  <conditionalFormatting sqref="C18">
    <cfRule type="expression" dxfId="4" priority="11" stopIfTrue="1">
      <formula>$C$5&lt;&gt;1</formula>
    </cfRule>
    <cfRule type="expression" dxfId="3" priority="12" stopIfTrue="1">
      <formula>$C$5=1</formula>
    </cfRule>
  </conditionalFormatting>
  <conditionalFormatting sqref="B25:C25">
    <cfRule type="containsText" dxfId="2" priority="3" operator="containsText" text="Error Case">
      <formula>NOT(ISERROR(SEARCH("Error Case",B25)))</formula>
    </cfRule>
  </conditionalFormatting>
  <conditionalFormatting sqref="B25">
    <cfRule type="containsText" dxfId="0" priority="2" operator="containsText" text="Within Error Threshold">
      <formula>NOT(ISERROR(SEARCH("Within Error Threshold",B25)))</formula>
    </cfRule>
    <cfRule type="containsText" dxfId="1" priority="1" operator="containsText" text="Correct Case">
      <formula>NOT(ISERROR(SEARCH("Correct Case",B25)))</formula>
    </cfRule>
  </conditionalFormatting>
  <dataValidations xWindow="1213" yWindow="661" count="19">
    <dataValidation type="whole" showErrorMessage="1" errorTitle="Budget Type:" error="Enter 1 for Prospective or 2 for Retrospective budget.  Mandatory entry." promptTitle="Budget Type:" prompt="Enter &quot;1&quot; for Prospective, &quot;2&quot; for Retrospective." sqref="C1" xr:uid="{00000000-0002-0000-0100-000000000000}">
      <formula1>1</formula1>
      <formula2>2</formula2>
    </dataValidation>
    <dataValidation type="date" allowBlank="1" showErrorMessage="1" errorTitle="Issuance/Review Month:" error="Date must be between 10/1997 and 9/2005." promptTitle="Issuance/Review Month:" prompt="Enter two-digit month/four-digit year." sqref="C2" xr:uid="{00000000-0002-0000-0100-000001000000}">
      <formula1>35704</formula1>
      <formula2>72988</formula2>
    </dataValidation>
    <dataValidation type="whole" allowBlank="1" showErrorMessage="1" errorTitle="Household Person Count:" error="Budget will not compute benefits for households larger than 20 persons. " promptTitle="Household Person Count:" prompt="Enter amount of CF eligible: Fed and CFAP." sqref="C3" xr:uid="{00000000-0002-0000-0100-000002000000}">
      <formula1>1</formula1>
      <formula2>20</formula2>
    </dataValidation>
    <dataValidation type="list" allowBlank="1" showErrorMessage="1" errorTitle="Household Type:" error="Enter either 1 or 2." promptTitle="Household Type:" prompt="1 OR 2, NOT 3." sqref="C4" xr:uid="{00000000-0002-0000-0100-000003000000}">
      <formula1>"1,2,3"</formula1>
    </dataValidation>
    <dataValidation type="date" errorStyle="information" allowBlank="1" showInputMessage="1" showErrorMessage="1" error="Mandatory Entry:  Date must be between 6/1996 and 9/2004." promptTitle="Certification Begin Date:" prompt="Beginning date of the cert. period that includes issuance month.  If left blank, incorrect Shelter Deduction Maximum may result. _x000a_Red Shading: Cert. date is after issuance month. _x000a_Violet Shading: Cert. date may be too old." sqref="F20" xr:uid="{00000000-0002-0000-0100-000004000000}">
      <formula1>35217</formula1>
      <formula2>38260</formula2>
    </dataValidation>
    <dataValidation type="whole" showInputMessage="1" showErrorMessage="1" errorTitle="Aged/Disabled Person?" error="Enter 1 if there is an Aged or Disabled Person included the the FS HH.  Otherwise, leave blank." sqref="C5" xr:uid="{00000000-0002-0000-0100-000005000000}">
      <formula1>1</formula1>
      <formula2>1</formula2>
    </dataValidation>
    <dataValidation type="whole" allowBlank="1" showInputMessage="1" showErrorMessage="1" errorTitle="Prorated Month Begin Day:" error="Day must be larger than 1 and cannot exceed the number of days in the month." sqref="G3" xr:uid="{00000000-0002-0000-0100-000006000000}">
      <formula1>2</formula1>
      <formula2>I3</formula2>
    </dataValidation>
    <dataValidation type="whole" allowBlank="1" showErrorMessage="1" errorTitle="Homeless Shelter Deduction" error="Enter 1 to budget homeless shelter amount; otherwise, leave blank." promptTitle="Homeless Shelter" prompt="Enter &quot;1&quot; to budget Homeless Shelter." sqref="C20" xr:uid="{00000000-0002-0000-0100-000007000000}">
      <formula1>1</formula1>
      <formula2>1</formula2>
    </dataValidation>
    <dataValidation type="list" operator="greaterThan" allowBlank="1" showErrorMessage="1" errorTitle="SUA/Actual Utility Amount" error="If no cost, leave blank." promptTitle="SUA/Actual Utility Amount" prompt="Enter &quot;.01&quot; here to budget SUA. Otherwise, enter actual utility amount." sqref="C22" xr:uid="{00000000-0002-0000-0100-000008000000}">
      <formula1>"SUA, SUAS,TUA,LUA"</formula1>
    </dataValidation>
    <dataValidation type="decimal" operator="greaterThan" allowBlank="1" showInputMessage="1" showErrorMessage="1" errorTitle="Actual Utility Amounts" error="Do not enter $0.  Leave blank." promptTitle="Actual Utility Amount:" prompt="Enter Actual Utility amounts here._x000a_(Enter &quot;.01&quot; in far left cell to budget SUA.)" sqref="D22:G22" xr:uid="{00000000-0002-0000-0100-000009000000}">
      <formula1>0</formula1>
    </dataValidation>
    <dataValidation type="decimal" operator="notEqual" allowBlank="1" showErrorMessage="1" errorTitle="Income Items" error="Do not enter &quot;0&quot;. Leave blank instead." promptTitle="Income Items" prompt="Individual items entered in rows total across." sqref="C9:G14" xr:uid="{00000000-0002-0000-0100-00000A000000}">
      <formula1>0</formula1>
    </dataValidation>
    <dataValidation type="decimal" operator="notEqual" allowBlank="1" showErrorMessage="1" errorTitle="Self-Employment Income Items" error="Do not enter 0.  Leave blank instead." promptTitle="Self-Employment Income Items" prompt="Individual items total across.  Begin self-employment expense figures with a minus sign (-)." sqref="C8:G8" xr:uid="{00000000-0002-0000-0100-00000B000000}">
      <formula1>0</formula1>
    </dataValidation>
    <dataValidation type="decimal" operator="notEqual" allowBlank="1" showErrorMessage="1" errorTitle="Income Items" error="Do not enter 0.  Leave blank instead." promptTitle="Income Items" prompt="Individual items entered in rows total across." sqref="C7:G7" xr:uid="{00000000-0002-0000-0100-00000C000000}">
      <formula1>0</formula1>
    </dataValidation>
    <dataValidation type="decimal" operator="greaterThan" allowBlank="1" showErrorMessage="1" errorTitle="Housing Costs" error="If 0, leave blank." promptTitle="Housing Cost:" prompt="Individual housing cost items total across." sqref="C21:G21" xr:uid="{00000000-0002-0000-0100-00000D000000}">
      <formula1>0</formula1>
    </dataValidation>
    <dataValidation allowBlank="1" showInputMessage="1" showErrorMessage="1" promptTitle="Medical Expenses" prompt="Enter medical expenses for aged/disabled persons in FS HH.  Excess amount will show on worksheet &quot;Results&quot; if &quot;1&quot; entered on Line #5 above." sqref="D18:G18" xr:uid="{00000000-0002-0000-0100-00000E000000}"/>
    <dataValidation allowBlank="1" showInputMessage="1" showErrorMessage="1" promptTitle="Child Care:" prompt="Individual child care items total across" sqref="C16:G16" xr:uid="{00000000-0002-0000-0100-00000F000000}"/>
    <dataValidation type="whole" operator="greaterThan" allowBlank="1" showErrorMessage="1" errorTitle="Prorate Rent:" error="Do not enter &quot;0&quot;.  Leave blank instead." promptTitle="Prorate Rent:" prompt="Enter number of persons whose share of housing costs is excluded from the FS budget." sqref="I4" xr:uid="{00000000-0002-0000-0100-000010000000}">
      <formula1>0</formula1>
    </dataValidation>
    <dataValidation type="whole" operator="greaterThan" allowBlank="1" showErrorMessage="1" promptTitle="Prorate Utilities:" prompt="Enter number of persons whose share of utilities is excluded from the FS budget.  If RED, invalid for this month per ACL 02-05." sqref="I5" xr:uid="{00000000-0002-0000-0100-000011000000}">
      <formula1>0</formula1>
    </dataValidation>
    <dataValidation allowBlank="1" showErrorMessage="1" promptTitle="Child Care:" prompt="Individual child care items total across" sqref="C17:G17" xr:uid="{00000000-0002-0000-0100-000013000000}"/>
  </dataValidations>
  <printOptions horizontalCentered="1" verticalCentered="1" headings="1"/>
  <pageMargins left="0.5" right="0.5" top="1" bottom="1" header="0.5" footer="0.5"/>
  <pageSetup orientation="landscape" r:id="rId3"/>
  <headerFooter alignWithMargins="0">
    <oddHeader>&amp;CExcel FS Budget for QA</oddHeader>
    <oddFooter>&amp;CWorksheet: Data</oddFooter>
  </headerFooter>
  <legacy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O58"/>
  <sheetViews>
    <sheetView zoomScale="136" zoomScaleNormal="136" workbookViewId="0">
      <selection activeCell="J1" sqref="J1"/>
    </sheetView>
  </sheetViews>
  <sheetFormatPr defaultRowHeight="12.75"/>
  <cols>
    <col min="1" max="1" width="2.5703125" customWidth="1"/>
    <col min="2" max="2" width="45" customWidth="1"/>
    <col min="3" max="3" width="9.5703125" customWidth="1"/>
    <col min="4" max="4" width="10.5703125" customWidth="1"/>
    <col min="5" max="5" width="2.28515625" customWidth="1"/>
    <col min="6" max="6" width="21.28515625" customWidth="1"/>
    <col min="7" max="7" width="15.42578125" customWidth="1"/>
    <col min="8" max="8" width="19.140625" customWidth="1"/>
    <col min="9" max="9" width="41.28515625" customWidth="1"/>
    <col min="10" max="10" width="11.28515625" customWidth="1"/>
    <col min="11" max="11" width="6.28515625" customWidth="1"/>
    <col min="12" max="12" width="27.85546875" customWidth="1"/>
  </cols>
  <sheetData>
    <row r="1" spans="1:15" ht="14.25" thickTop="1" thickBot="1">
      <c r="A1" s="3"/>
      <c r="B1" s="117" t="s">
        <v>16</v>
      </c>
      <c r="C1" s="118"/>
      <c r="D1" s="119">
        <f>Sheet1!O21</f>
        <v>0</v>
      </c>
      <c r="E1" s="120"/>
      <c r="F1" s="529" t="e">
        <f>IF(D1&gt;D2,"The HH is non-MCE","MCE                 HH:")</f>
        <v>#N/A</v>
      </c>
      <c r="G1" s="621">
        <f>Data!C3</f>
        <v>0</v>
      </c>
      <c r="H1" s="3"/>
      <c r="I1" s="152" t="s">
        <v>117</v>
      </c>
      <c r="J1" s="494">
        <v>23</v>
      </c>
      <c r="K1" s="3"/>
      <c r="L1" s="3"/>
      <c r="M1" s="3"/>
      <c r="N1" s="3"/>
      <c r="O1" s="3"/>
    </row>
    <row r="2" spans="1:15" ht="14.25" thickTop="1" thickBot="1">
      <c r="A2" s="3"/>
      <c r="B2" s="121" t="s">
        <v>17</v>
      </c>
      <c r="C2" s="118"/>
      <c r="D2" s="119" t="e">
        <f>Sheet2!I12</f>
        <v>#N/A</v>
      </c>
      <c r="E2" s="120"/>
      <c r="F2" s="122" t="s">
        <v>19</v>
      </c>
      <c r="G2" s="123" t="e">
        <f>Results!D21</f>
        <v>#DIV/0!</v>
      </c>
      <c r="H2" s="3"/>
      <c r="I2" s="152" t="s">
        <v>142</v>
      </c>
      <c r="J2" s="410">
        <f>J1</f>
        <v>23</v>
      </c>
      <c r="K2" s="3"/>
      <c r="L2" s="3"/>
      <c r="M2" s="3"/>
      <c r="N2" s="3"/>
      <c r="O2" s="3"/>
    </row>
    <row r="3" spans="1:15" ht="14.25" thickTop="1" thickBot="1">
      <c r="A3" s="3"/>
      <c r="B3" s="124" t="s">
        <v>151</v>
      </c>
      <c r="C3" s="125"/>
      <c r="D3" s="643" t="str">
        <f>IF(AND(Data!C3&gt;0,Data!C4&gt;0),IF(OR(Data!C4=1,Data!C5&gt;0),"N/A",IF(D2&gt;=D1,"Yes","No"))," ")</f>
        <v xml:space="preserve"> </v>
      </c>
      <c r="E3" s="120"/>
      <c r="F3" s="126" t="s">
        <v>21</v>
      </c>
      <c r="G3" s="127" t="e">
        <f>Sheet2!M12</f>
        <v>#N/A</v>
      </c>
      <c r="H3" s="3"/>
      <c r="I3" s="120"/>
      <c r="J3" s="120"/>
      <c r="K3" s="3"/>
      <c r="L3" s="3"/>
      <c r="M3" s="3"/>
      <c r="N3" s="3"/>
      <c r="O3" s="3"/>
    </row>
    <row r="4" spans="1:15" ht="13.5" thickTop="1">
      <c r="A4" s="3"/>
      <c r="B4" s="117" t="s">
        <v>18</v>
      </c>
      <c r="C4" s="128"/>
      <c r="D4" s="112">
        <f>SUM(Data!I7:I9)*0.8</f>
        <v>0</v>
      </c>
      <c r="E4" s="120"/>
      <c r="F4" s="122" t="s">
        <v>23</v>
      </c>
      <c r="G4" s="510" t="str">
        <f>IF(Data!C3&gt;0,IF(Data!C4=1,"N/A",IF(G2&lt;=G3,"Yes","No"))," ")</f>
        <v xml:space="preserve"> </v>
      </c>
      <c r="H4" s="3"/>
      <c r="I4" s="8" t="s">
        <v>236</v>
      </c>
      <c r="J4" s="131" t="b">
        <f>AND(Data!L7,Data!I5&gt;0)</f>
        <v>0</v>
      </c>
      <c r="K4" s="3"/>
      <c r="L4" s="3"/>
      <c r="M4" s="3"/>
      <c r="N4" s="3"/>
      <c r="O4" s="3"/>
    </row>
    <row r="5" spans="1:15">
      <c r="A5" s="3"/>
      <c r="B5" s="121" t="s">
        <v>20</v>
      </c>
      <c r="C5" s="118"/>
      <c r="D5" s="112">
        <f>SUM(Data!I10:I14)</f>
        <v>0</v>
      </c>
      <c r="E5" s="120"/>
      <c r="F5" s="129" t="s">
        <v>148</v>
      </c>
      <c r="G5" s="130"/>
      <c r="H5" s="3"/>
      <c r="I5" s="120"/>
      <c r="J5" s="120"/>
      <c r="K5" s="3"/>
      <c r="L5" s="3"/>
      <c r="M5" s="3"/>
      <c r="N5" s="3"/>
      <c r="O5" s="3"/>
    </row>
    <row r="6" spans="1:15" ht="13.5" thickBot="1">
      <c r="A6" s="3"/>
      <c r="B6" s="121" t="s">
        <v>22</v>
      </c>
      <c r="C6" s="118"/>
      <c r="D6" s="112">
        <f>D5+D4</f>
        <v>0</v>
      </c>
      <c r="E6" s="120"/>
      <c r="F6" s="120"/>
      <c r="G6" s="120"/>
      <c r="H6" s="3"/>
      <c r="I6" s="120"/>
      <c r="J6" s="120"/>
      <c r="K6" s="3"/>
      <c r="L6" s="3"/>
      <c r="M6" s="3"/>
      <c r="N6" s="3"/>
      <c r="O6" s="3"/>
    </row>
    <row r="7" spans="1:15" ht="14.25" thickTop="1" thickBot="1">
      <c r="A7" s="3"/>
      <c r="B7" s="121" t="s">
        <v>24</v>
      </c>
      <c r="C7" s="128"/>
      <c r="D7" s="112" t="str">
        <f>IF(AND(ISNUMBER(Data!C2),M7&gt;0),HLOOKUP(Data!C2,B_Cons,M7)," ")</f>
        <v xml:space="preserve"> </v>
      </c>
      <c r="E7" s="120"/>
      <c r="F7" s="131" t="s">
        <v>26</v>
      </c>
      <c r="G7" s="132" t="e">
        <f>HLOOKUP(Data!C2,Max_A,Data!C3+1)</f>
        <v>#N/A</v>
      </c>
      <c r="H7" s="3"/>
      <c r="I7" s="624" t="s">
        <v>141</v>
      </c>
      <c r="J7" s="153"/>
      <c r="K7" s="3"/>
      <c r="L7" s="268" t="s">
        <v>221</v>
      </c>
      <c r="M7" s="269">
        <f>IF(ISNUMBER(Data!C3),IF(AND(Data!C3&gt;0,Data!C3&lt;4),2,IF(Data!C3=4,3,IF(Data!C3=5,4,5))),0)</f>
        <v>0</v>
      </c>
      <c r="N7" s="3"/>
      <c r="O7" s="3"/>
    </row>
    <row r="8" spans="1:15" ht="13.5" thickTop="1">
      <c r="A8" s="3"/>
      <c r="B8" s="133" t="s">
        <v>25</v>
      </c>
      <c r="C8" s="128"/>
      <c r="D8" s="112" t="e">
        <f>SUM(Data!I16:I17)</f>
        <v>#DIV/0!</v>
      </c>
      <c r="E8" s="120"/>
      <c r="F8" s="126" t="s">
        <v>433</v>
      </c>
      <c r="G8" s="132" t="e">
        <f>ROUNDUP(G2*0.3,0)</f>
        <v>#DIV/0!</v>
      </c>
      <c r="H8" s="3"/>
      <c r="I8" s="154" t="s">
        <v>16</v>
      </c>
      <c r="J8" s="155">
        <f>SUM('Ex-CFAP'!G6:G7)+SUM('Ex-CFAP'!G9:G10)</f>
        <v>0</v>
      </c>
      <c r="K8" s="3"/>
      <c r="L8" s="3"/>
      <c r="M8" s="3"/>
      <c r="N8" s="3"/>
      <c r="O8" s="3"/>
    </row>
    <row r="9" spans="1:15">
      <c r="A9" s="3"/>
      <c r="B9" s="121" t="s">
        <v>40</v>
      </c>
      <c r="C9" s="128"/>
      <c r="D9" s="134" t="str">
        <f>IF(Data!C20&gt;0,Data!I20,"N/A")</f>
        <v>N/A</v>
      </c>
      <c r="E9" s="120"/>
      <c r="F9" s="122" t="s">
        <v>31</v>
      </c>
      <c r="G9" s="618" t="e">
        <f>IF(AND(G42&gt;0,G4="No"),"0.00",D47)</f>
        <v>#N/A</v>
      </c>
      <c r="H9" s="3"/>
      <c r="I9" s="156" t="s">
        <v>17</v>
      </c>
      <c r="J9" s="157" t="str">
        <f>IF(AND(Data!C2&gt;0,SUM('Ex-CFAP'!G3)&gt;0),IF(OR('Ex-CFAP'!C30=1,'Ex-CFAP'!E5&gt;0),"N/A",HLOOKUP(Data!C2,R_MG,'Ex-CFAP'!G3+1))," ")</f>
        <v xml:space="preserve"> </v>
      </c>
      <c r="K9" s="3"/>
      <c r="L9" s="3"/>
      <c r="M9" s="3"/>
      <c r="N9" s="3"/>
      <c r="O9" s="3"/>
    </row>
    <row r="10" spans="1:15" ht="13.5" thickBot="1">
      <c r="A10" s="3"/>
      <c r="B10" s="415" t="s">
        <v>318</v>
      </c>
      <c r="C10" s="128"/>
      <c r="D10" s="424">
        <f>IF(Data!C5=1,Data!I18,0)</f>
        <v>0</v>
      </c>
      <c r="E10" s="120"/>
      <c r="F10" s="135" t="s">
        <v>33</v>
      </c>
      <c r="G10" s="136" t="str">
        <f>IF(SUM(Data!G3)&gt;1,FIXED(Data!I3-Data!G3+1,0)&amp;" of "&amp;FIXED(Data!I3,0),"N/A")</f>
        <v>N/A</v>
      </c>
      <c r="H10" s="3"/>
      <c r="I10" s="158" t="s">
        <v>149</v>
      </c>
      <c r="J10" s="509" t="str">
        <f>IF('Ex-CFAP'!G3&gt;0,IF(OR('Ex-CFAP'!C30=1,'Ex-CFAP'!E5&gt;0),"N/A",IF(J9&gt;=J8,"Yes","No"))," ")</f>
        <v>Yes</v>
      </c>
      <c r="K10" s="3"/>
      <c r="L10" s="3"/>
      <c r="M10" s="3"/>
      <c r="N10" s="3"/>
      <c r="O10" s="3"/>
    </row>
    <row r="11" spans="1:15" ht="13.5" thickTop="1">
      <c r="A11" s="3"/>
      <c r="B11" s="117" t="s">
        <v>195</v>
      </c>
      <c r="C11" s="118"/>
      <c r="D11" s="112">
        <f>Data!I19</f>
        <v>0</v>
      </c>
      <c r="E11" s="120"/>
      <c r="F11" s="136" t="s">
        <v>34</v>
      </c>
      <c r="G11" s="137" t="str">
        <f>IF(SUM(Data!G3)&gt;1,(Data!I3-Data!G3+1)/Data!I3,"N/A")</f>
        <v>N/A</v>
      </c>
      <c r="H11" s="3"/>
      <c r="I11" s="159" t="s">
        <v>19</v>
      </c>
      <c r="J11" s="160" t="str">
        <f>'Ex-CFAP'!G18</f>
        <v xml:space="preserve"> </v>
      </c>
      <c r="K11" s="3"/>
      <c r="L11" s="3"/>
      <c r="M11" s="3"/>
      <c r="N11" s="3"/>
      <c r="O11" s="3"/>
    </row>
    <row r="12" spans="1:15">
      <c r="A12" s="3"/>
      <c r="B12" s="121" t="s">
        <v>27</v>
      </c>
      <c r="C12" s="118"/>
      <c r="D12" s="112" t="e">
        <f>IF(D6-SUM(D7:D11)&gt;0,D6-SUM(D7:D11),0)</f>
        <v>#DIV/0!</v>
      </c>
      <c r="E12" s="120"/>
      <c r="F12" s="138" t="e">
        <f>"Prorated Allotment"&amp;IF(AND(SUM(G9)&gt;0,SUM(G11)&gt;0,SUM(G9)*SUM(G11)&lt;10)," &lt;$10"," ")</f>
        <v>#N/A</v>
      </c>
      <c r="G12" s="139" t="e">
        <f>IF(G29&lt;10,0,G29)</f>
        <v>#N/A</v>
      </c>
      <c r="H12" s="3"/>
      <c r="I12" s="161" t="s">
        <v>21</v>
      </c>
      <c r="J12" s="155" t="str">
        <f>IF(Data!C3&gt;0,IF('Ex-CFAP'!C30=1,"N/A",HLOOKUP(Data!C2,M_Net,SUM('Ex-CFAP'!G3)+1))," ")</f>
        <v xml:space="preserve"> </v>
      </c>
      <c r="K12" s="3"/>
      <c r="L12" s="3"/>
      <c r="M12" s="3"/>
      <c r="N12" s="3"/>
      <c r="O12" s="3"/>
    </row>
    <row r="13" spans="1:15">
      <c r="A13" s="3"/>
      <c r="B13" s="140" t="s">
        <v>29</v>
      </c>
      <c r="C13" s="141" t="s">
        <v>30</v>
      </c>
      <c r="D13" s="142"/>
      <c r="E13" s="120"/>
      <c r="F13" s="120"/>
      <c r="G13" s="120"/>
      <c r="H13" s="3"/>
      <c r="I13" s="159" t="s">
        <v>23</v>
      </c>
      <c r="J13" s="162" t="str">
        <f>IF(Data!C3&gt;0,IF('Ex-CFAP'!C30=1,"N/A",IF(J11&lt;=J12,"Yes","No"))," ")</f>
        <v xml:space="preserve"> </v>
      </c>
      <c r="K13" s="3"/>
      <c r="L13" s="3"/>
      <c r="M13" s="3"/>
      <c r="N13" s="3"/>
      <c r="O13" s="3"/>
    </row>
    <row r="14" spans="1:15">
      <c r="A14" s="3"/>
      <c r="B14" s="117" t="s">
        <v>32</v>
      </c>
      <c r="C14" s="143" t="str">
        <f>IF(Data!C3&gt;0,IF(Data!C20&gt;0,"N/A",Data!C3/(Data!C3+Data!I4))," ")</f>
        <v xml:space="preserve"> </v>
      </c>
      <c r="D14" s="144" t="str">
        <f>IF(Data!C3&gt;0,IF(Data!C20&gt;0,"N/A",C14*Data!I21)," ")</f>
        <v xml:space="preserve"> </v>
      </c>
      <c r="E14" s="145"/>
      <c r="F14" s="146" t="s">
        <v>136</v>
      </c>
      <c r="G14" s="147"/>
      <c r="H14" s="3"/>
      <c r="I14" s="163" t="s">
        <v>26</v>
      </c>
      <c r="J14" s="155" t="str">
        <f>IF(Data!C3&gt;0,IF(OR(D3="No",J13="No"),"N/A",HLOOKUP(Data!C2,Max_A,'Ex-CFAP'!G3+1))," ")</f>
        <v xml:space="preserve"> </v>
      </c>
      <c r="K14" s="3"/>
      <c r="L14" s="3"/>
      <c r="M14" s="3"/>
      <c r="N14" s="3"/>
      <c r="O14" s="3"/>
    </row>
    <row r="15" spans="1:15">
      <c r="A15" s="3"/>
      <c r="B15" s="117" t="str">
        <f>IF(M7,"Utilities (proration obsolete this month per ACL 02-55)","Utilities")</f>
        <v>Utilities</v>
      </c>
      <c r="C15" s="143" t="str">
        <f>IF(Data!C3&gt;0,IF(OR(Data!C20&gt;0,J4),"N/A",Data!C3/(Data!C3+Data!I5))," ")</f>
        <v xml:space="preserve"> </v>
      </c>
      <c r="D15" s="426" t="str">
        <f>IF(Data!C3&gt;0,IF(Data!C20&gt;0,"N/A",IF(J4,Data!I22,C15*Data!I22))," ")</f>
        <v xml:space="preserve"> </v>
      </c>
      <c r="E15" s="120"/>
      <c r="F15" s="136" t="s">
        <v>137</v>
      </c>
      <c r="G15" s="252"/>
      <c r="H15" s="3"/>
      <c r="I15" s="161" t="s">
        <v>28</v>
      </c>
      <c r="J15" s="155" t="str">
        <f>IF(Data!C3&gt;0,IF(J13="No","N/A",INT('Ex-CFAP'!G18*0.3)+IF('Ex-CFAP'!G18*0.3&gt;INT('Ex-CFAP'!G18*0.3),1,0))," ")</f>
        <v xml:space="preserve"> </v>
      </c>
      <c r="K15" s="3"/>
      <c r="L15" s="3"/>
      <c r="M15" s="3"/>
      <c r="N15" s="3"/>
      <c r="O15" s="3"/>
    </row>
    <row r="16" spans="1:15">
      <c r="A16" s="3"/>
      <c r="B16" s="121" t="s">
        <v>35</v>
      </c>
      <c r="C16" s="118"/>
      <c r="D16" s="134">
        <f>IF(Data!C20&gt;0,"N/A",SUM(D14:D15))</f>
        <v>0</v>
      </c>
      <c r="E16" s="120"/>
      <c r="F16" s="136" t="s">
        <v>150</v>
      </c>
      <c r="G16" s="139" t="str">
        <f>IF(G15&gt;0,IF(SUM(Data!G3)&gt;1,G12,G9)-G15," ")</f>
        <v xml:space="preserve"> </v>
      </c>
      <c r="H16" s="3"/>
      <c r="I16" s="159" t="s">
        <v>31</v>
      </c>
      <c r="J16" s="626">
        <f>IF(J10="No",0,J32)</f>
        <v>23</v>
      </c>
      <c r="K16" s="3"/>
      <c r="L16" s="3"/>
      <c r="M16" s="3"/>
      <c r="N16" s="3"/>
      <c r="O16" s="3"/>
    </row>
    <row r="17" spans="1:15">
      <c r="A17" s="3"/>
      <c r="B17" s="133" t="s">
        <v>97</v>
      </c>
      <c r="C17" s="118"/>
      <c r="D17" s="134" t="e">
        <f>IF(Data!C20&gt;0,"N/A",0.5*D12)</f>
        <v>#DIV/0!</v>
      </c>
      <c r="E17" s="120"/>
      <c r="F17" s="120"/>
      <c r="G17" s="120"/>
      <c r="H17" s="3"/>
      <c r="I17" s="164" t="s">
        <v>33</v>
      </c>
      <c r="J17" s="165" t="str">
        <f>IF(Data!G3&gt;1,FIXED(Data!I3-Data!G3+1,0)&amp;" of "&amp;FIXED(Data!I3,0),"N/A")</f>
        <v>N/A</v>
      </c>
      <c r="K17" s="3"/>
      <c r="L17" s="3"/>
      <c r="M17" s="3"/>
      <c r="N17" s="3"/>
      <c r="O17" s="3"/>
    </row>
    <row r="18" spans="1:15">
      <c r="A18" s="3"/>
      <c r="B18" s="121" t="s">
        <v>37</v>
      </c>
      <c r="C18" s="118"/>
      <c r="D18" s="134" t="e">
        <f>IF(Data!C20&gt;0,"N/A",IF(D16-D17&gt;0,D16-D17,0))</f>
        <v>#DIV/0!</v>
      </c>
      <c r="E18" s="120"/>
      <c r="F18" s="148" t="s">
        <v>202</v>
      </c>
      <c r="G18" s="149"/>
      <c r="H18" s="3"/>
      <c r="I18" s="166" t="s">
        <v>34</v>
      </c>
      <c r="J18" s="167" t="str">
        <f>IF(Data!G3&gt;1,(Data!I3-Data!G3+1)/Data!I3,"N/A")</f>
        <v>N/A</v>
      </c>
      <c r="K18" s="3"/>
      <c r="L18" s="3"/>
      <c r="M18" s="3"/>
      <c r="N18" s="3"/>
      <c r="O18" s="3"/>
    </row>
    <row r="19" spans="1:15" ht="13.5" thickBot="1">
      <c r="A19" s="3"/>
      <c r="B19" s="133" t="s">
        <v>38</v>
      </c>
      <c r="C19" s="118"/>
      <c r="D19" s="150" t="str">
        <f>IF(Data!C2&gt;0,IF(OR(Data!C5&gt;0,Data!C20&gt;0),"N/A",Data!H20)," ")</f>
        <v xml:space="preserve"> </v>
      </c>
      <c r="E19" s="120"/>
      <c r="F19" s="131" t="s">
        <v>201</v>
      </c>
      <c r="G19" s="132">
        <f>IF(ISBLANK(Begin!K11)," ",Begin!K11)</f>
        <v>0</v>
      </c>
      <c r="H19" s="3"/>
      <c r="I19" s="168" t="s">
        <v>36</v>
      </c>
      <c r="J19" s="363" t="str">
        <f>IF(AND(Data!G3&gt;0,NOT(G4="No")),IF(INT(J18*J16)&lt;10,0,INT(J18*J16)),"N/A")</f>
        <v>N/A</v>
      </c>
      <c r="K19" s="3"/>
      <c r="L19" s="3"/>
      <c r="M19" s="3"/>
      <c r="N19" s="3"/>
      <c r="O19" s="3"/>
    </row>
    <row r="20" spans="1:15" ht="13.5" thickTop="1">
      <c r="A20" s="3"/>
      <c r="B20" s="133" t="s">
        <v>39</v>
      </c>
      <c r="C20" s="118"/>
      <c r="D20" s="134" t="e">
        <f>IF(Data!C5&gt;1,Results!D18,IF(D18&gt;D19,D19,D18))</f>
        <v>#DIV/0!</v>
      </c>
      <c r="E20" s="120"/>
      <c r="F20" s="620" t="s">
        <v>203</v>
      </c>
      <c r="G20" s="127" t="e">
        <f>IF(ISBLANK(Begin!K11)," ",IF(G15&gt;0,G16,IF(SUM(Data!G3)&gt;1,G12,G9)))</f>
        <v>#N/A</v>
      </c>
      <c r="H20" s="3"/>
      <c r="I20" s="3"/>
      <c r="J20" s="3"/>
      <c r="K20" s="3"/>
      <c r="L20" s="3"/>
      <c r="M20" s="3"/>
      <c r="N20" s="3"/>
      <c r="O20" s="3"/>
    </row>
    <row r="21" spans="1:15">
      <c r="A21" s="3"/>
      <c r="B21" s="501" t="s">
        <v>400</v>
      </c>
      <c r="C21" s="128"/>
      <c r="D21" s="151" t="e">
        <f>IF(D12-SUM(D20)&gt;0,ROUND(D12-SUM(D20),0),0)</f>
        <v>#DIV/0!</v>
      </c>
      <c r="E21" s="120"/>
      <c r="F21" s="131" t="e">
        <f>"Error Amount: "&amp;IF(SUM(G19)-SUM(G20)&lt;0,"(U/I)",IF(SUM(G19)-SUM(G20)&gt;0,"(O/I)"," "))</f>
        <v>#N/A</v>
      </c>
      <c r="G21" s="440" t="e">
        <f>IF(ISBLANK(Begin!K11)," ",ABS(Results!G19-Results!G20))</f>
        <v>#N/A</v>
      </c>
      <c r="H21" s="3"/>
      <c r="I21" s="3"/>
      <c r="J21" s="3"/>
      <c r="K21" s="3"/>
      <c r="L21" s="3"/>
      <c r="M21" s="3"/>
      <c r="N21" s="3"/>
      <c r="O21" s="3"/>
    </row>
    <row r="22" spans="1:15" ht="171" customHeight="1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</row>
    <row r="23" spans="1:15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</row>
    <row r="24" spans="1:15" ht="117.75" customHeight="1">
      <c r="A24" s="3"/>
      <c r="B24" s="3"/>
      <c r="C24" s="3"/>
      <c r="D24" s="5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</row>
    <row r="25" spans="1:15">
      <c r="B25" s="1"/>
      <c r="D25" s="2"/>
    </row>
    <row r="26" spans="1:15">
      <c r="B26" t="s">
        <v>204</v>
      </c>
      <c r="G26" t="e">
        <f>IF(G8&gt;G7,0,G7-G8)</f>
        <v>#DIV/0!</v>
      </c>
      <c r="I26" s="366" t="s">
        <v>313</v>
      </c>
      <c r="J26" s="412">
        <f>IF(J14&gt;J15,J14-J15,0)</f>
        <v>0</v>
      </c>
    </row>
    <row r="27" spans="1:15">
      <c r="I27" s="366" t="s">
        <v>312</v>
      </c>
      <c r="J27" s="413">
        <f>Data!C3-'Ex-CFAP'!E3</f>
        <v>0</v>
      </c>
    </row>
    <row r="28" spans="1:15">
      <c r="B28" s="366" t="s">
        <v>314</v>
      </c>
      <c r="C28" t="e">
        <f>G2*0.3</f>
        <v>#DIV/0!</v>
      </c>
      <c r="F28" s="366" t="s">
        <v>393</v>
      </c>
      <c r="G28" t="e">
        <f>G9*G11</f>
        <v>#N/A</v>
      </c>
    </row>
    <row r="29" spans="1:15">
      <c r="F29" s="366" t="s">
        <v>394</v>
      </c>
      <c r="G29" t="e">
        <f>ROUNDDOWN(G28,0)</f>
        <v>#N/A</v>
      </c>
    </row>
    <row r="32" spans="1:15">
      <c r="I32" s="397" t="s">
        <v>432</v>
      </c>
      <c r="J32" s="406">
        <f>IF(AND(J27&lt;3,J26&lt;J2),J2,J26)</f>
        <v>23</v>
      </c>
    </row>
    <row r="33" spans="2:7">
      <c r="D33" s="438" t="s">
        <v>424</v>
      </c>
      <c r="F33" s="446" t="e">
        <f>IF(AND(Data!C3&lt;3,Results!G26&lt;J1),J1,G26)</f>
        <v>#DIV/0!</v>
      </c>
    </row>
    <row r="35" spans="2:7">
      <c r="C35" s="189"/>
      <c r="D35" s="189"/>
    </row>
    <row r="36" spans="2:7">
      <c r="C36" s="372" t="s">
        <v>415</v>
      </c>
      <c r="D36" s="539">
        <f>Data!C5</f>
        <v>0</v>
      </c>
      <c r="F36" s="366" t="s">
        <v>420</v>
      </c>
    </row>
    <row r="37" spans="2:7">
      <c r="B37" s="617" t="s">
        <v>425</v>
      </c>
      <c r="C37" s="372" t="s">
        <v>416</v>
      </c>
      <c r="D37" s="432" t="e">
        <f>IF(D1&gt;D2,"1","0")</f>
        <v>#N/A</v>
      </c>
      <c r="F37" s="366" t="s">
        <v>418</v>
      </c>
      <c r="G37" s="366" t="s">
        <v>421</v>
      </c>
    </row>
    <row r="38" spans="2:7">
      <c r="B38" s="617" t="s">
        <v>426</v>
      </c>
      <c r="C38" s="372" t="s">
        <v>417</v>
      </c>
      <c r="D38" s="432" t="e">
        <f>IF(G2&gt;G3,"1","0")</f>
        <v>#DIV/0!</v>
      </c>
      <c r="F38" s="366" t="s">
        <v>419</v>
      </c>
    </row>
    <row r="39" spans="2:7">
      <c r="B39" s="617" t="s">
        <v>427</v>
      </c>
      <c r="C39" s="189"/>
      <c r="D39" s="616" t="e">
        <f>D36+D37+D38</f>
        <v>#N/A</v>
      </c>
    </row>
    <row r="40" spans="2:7">
      <c r="C40" s="189"/>
      <c r="D40" s="432"/>
    </row>
    <row r="41" spans="2:7">
      <c r="C41" s="372" t="s">
        <v>422</v>
      </c>
      <c r="D41" s="438" t="e">
        <f>IF(G7&gt;G8,G7-G8,"0")</f>
        <v>#N/A</v>
      </c>
    </row>
    <row r="42" spans="2:7">
      <c r="D42" s="438"/>
      <c r="F42" s="651" t="s">
        <v>470</v>
      </c>
      <c r="G42" s="664" t="e">
        <f>D1-D2</f>
        <v>#N/A</v>
      </c>
    </row>
    <row r="43" spans="2:7">
      <c r="C43" s="366" t="s">
        <v>423</v>
      </c>
      <c r="D43" s="438" t="e">
        <f>IF(D37=0,F33,D41)</f>
        <v>#N/A</v>
      </c>
    </row>
    <row r="44" spans="2:7">
      <c r="D44" s="438"/>
    </row>
    <row r="45" spans="2:7">
      <c r="D45" s="438"/>
    </row>
    <row r="46" spans="2:7">
      <c r="D46" s="438"/>
    </row>
    <row r="47" spans="2:7">
      <c r="D47" s="446" t="e">
        <f>IF(OR(D3="No",D39="3"),"0",IF(D37="0",F33,D41))</f>
        <v>#N/A</v>
      </c>
      <c r="E47" s="397" t="s">
        <v>471</v>
      </c>
    </row>
    <row r="49" spans="1:4">
      <c r="C49" s="366"/>
      <c r="D49" s="413"/>
    </row>
    <row r="50" spans="1:4">
      <c r="C50" s="366"/>
      <c r="D50" s="663"/>
    </row>
    <row r="51" spans="1:4" ht="13.5" thickBot="1">
      <c r="C51" s="366"/>
      <c r="D51" s="662"/>
    </row>
    <row r="52" spans="1:4" ht="13.5" customHeight="1" thickBot="1">
      <c r="A52" s="659"/>
      <c r="C52" s="366"/>
      <c r="D52" s="661"/>
    </row>
    <row r="53" spans="1:4">
      <c r="C53" s="366"/>
      <c r="D53" s="661"/>
    </row>
    <row r="54" spans="1:4">
      <c r="C54" s="366"/>
      <c r="D54" s="660"/>
    </row>
    <row r="56" spans="1:4">
      <c r="C56" s="366"/>
    </row>
    <row r="57" spans="1:4">
      <c r="C57" s="366"/>
      <c r="D57" s="446"/>
    </row>
    <row r="58" spans="1:4">
      <c r="C58" s="366"/>
    </row>
  </sheetData>
  <sheetProtection algorithmName="SHA-512" hashValue="gpIMf9FY60eUdHt+/T4M2/xXE4LUQhOSang2xO+NBN91k2+27bguCc15ExBpV3XdyvhLkSxD4QSD7O6npYiy9w==" saltValue="HuBWh+UBwCqx4ihFuT5D3Q==" spinCount="100000" sheet="1" formatCells="0" selectLockedCells="1"/>
  <customSheetViews>
    <customSheetView guid="{8B667783-ABB1-44FC-8E84-2FB0B35607A4}" showPageBreaks="1" printArea="1">
      <selection activeCell="G18" sqref="G18"/>
      <pageMargins left="0.75" right="0.75" top="1" bottom="1" header="0.5" footer="0.5"/>
      <printOptions horizontalCentered="1" verticalCentered="1" headings="1"/>
      <pageSetup orientation="landscape" r:id="rId1"/>
      <headerFooter alignWithMargins="0">
        <oddHeader>&amp;CExcel FS Budget for QA</oddHeader>
        <oddFooter>&amp;CWorksheet: Results</oddFooter>
      </headerFooter>
    </customSheetView>
    <customSheetView guid="{3CED0DA5-B598-4FE7-9427-9FCE2EEF7FEF}">
      <selection activeCell="G18" sqref="G18"/>
      <pageMargins left="0.75" right="0.75" top="1" bottom="1" header="0.5" footer="0.5"/>
      <printOptions horizontalCentered="1" verticalCentered="1" headings="1"/>
      <pageSetup orientation="landscape" r:id="rId2"/>
      <headerFooter alignWithMargins="0">
        <oddHeader>&amp;CExcel FS Budget for QA</oddHeader>
        <oddFooter>&amp;CWorksheet: Results</oddFooter>
      </headerFooter>
    </customSheetView>
  </customSheetViews>
  <phoneticPr fontId="0" type="noConversion"/>
  <conditionalFormatting sqref="B15">
    <cfRule type="expression" dxfId="33" priority="1" stopIfTrue="1">
      <formula>$J$4</formula>
    </cfRule>
  </conditionalFormatting>
  <dataValidations xWindow="1696" yWindow="1041" count="1">
    <dataValidation type="decimal" operator="greaterThan" allowBlank="1" showInputMessage="1" showErrorMessage="1" errorTitle="O/I Adjustment Amount:" error="Do not enter &quot;0&quot;.  Leave blank instead." sqref="G15" xr:uid="{00000000-0002-0000-0200-000000000000}">
      <formula1>0</formula1>
    </dataValidation>
  </dataValidations>
  <printOptions horizontalCentered="1" verticalCentered="1" headings="1"/>
  <pageMargins left="0.75" right="0.75" top="1" bottom="1" header="0.5" footer="0.5"/>
  <pageSetup orientation="landscape" r:id="rId3"/>
  <headerFooter alignWithMargins="0">
    <oddHeader>&amp;CExcel FS Budget for QA</oddHeader>
    <oddFooter>&amp;CWorksheet: Results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FFC000"/>
    <pageSetUpPr fitToPage="1"/>
  </sheetPr>
  <dimension ref="A1:M77"/>
  <sheetViews>
    <sheetView topLeftCell="A43" zoomScale="110" zoomScaleNormal="110" workbookViewId="0">
      <selection activeCell="F32" sqref="F32"/>
    </sheetView>
  </sheetViews>
  <sheetFormatPr defaultRowHeight="12.75"/>
  <cols>
    <col min="1" max="2" width="3.42578125" customWidth="1"/>
    <col min="3" max="3" width="47" customWidth="1"/>
    <col min="4" max="4" width="18.7109375" customWidth="1"/>
    <col min="5" max="5" width="17.28515625" customWidth="1"/>
    <col min="6" max="6" width="26.140625" customWidth="1"/>
    <col min="7" max="7" width="12.7109375" customWidth="1"/>
    <col min="8" max="8" width="3.7109375" customWidth="1"/>
    <col min="9" max="9" width="52.28515625" customWidth="1"/>
    <col min="13" max="13" width="34.140625" customWidth="1"/>
  </cols>
  <sheetData>
    <row r="1" spans="1:13" ht="15.75" thickBot="1">
      <c r="A1" s="169" t="s">
        <v>44</v>
      </c>
      <c r="B1" s="170"/>
      <c r="C1" s="170"/>
      <c r="D1" s="171" t="str">
        <f>"Caseload:  "&amp;Begin!K9</f>
        <v xml:space="preserve">Caseload:  </v>
      </c>
      <c r="E1" s="171"/>
      <c r="F1" s="172" t="str">
        <f>"Computed by  "&amp;Begin!K10&amp;"  on "</f>
        <v xml:space="preserve">Computed by    on </v>
      </c>
      <c r="G1" s="173">
        <f ca="1">TODAY()</f>
        <v>45197</v>
      </c>
      <c r="H1" s="3"/>
      <c r="I1" s="3"/>
      <c r="J1" s="3"/>
      <c r="K1" s="3"/>
      <c r="L1" s="3"/>
      <c r="M1" s="3"/>
    </row>
    <row r="2" spans="1:13" ht="16.5" thickTop="1" thickBot="1">
      <c r="A2" s="174"/>
      <c r="B2" s="175"/>
      <c r="C2" s="175" t="str">
        <f>"Case Name: "&amp;Begin!E9</f>
        <v xml:space="preserve">Case Name: </v>
      </c>
      <c r="D2" s="176" t="s">
        <v>3</v>
      </c>
      <c r="E2" s="177" t="str">
        <f>T(Begin!E10)</f>
        <v/>
      </c>
      <c r="F2" s="178" t="s">
        <v>45</v>
      </c>
      <c r="G2" s="179" t="str">
        <f>IF(Data!C4&gt;0,IF(Data!C4&gt;1,IF(Data!C4&gt;2,"MX","NA"),"PA")," ")</f>
        <v xml:space="preserve"> </v>
      </c>
      <c r="H2" s="3"/>
      <c r="I2" s="3"/>
      <c r="J2" s="3"/>
      <c r="K2" s="3"/>
      <c r="L2" s="3"/>
      <c r="M2" s="3"/>
    </row>
    <row r="3" spans="1:13" ht="15.75" thickBot="1">
      <c r="A3" s="180" t="s">
        <v>46</v>
      </c>
      <c r="B3" s="181"/>
      <c r="C3" s="181"/>
      <c r="D3" s="182" t="s">
        <v>47</v>
      </c>
      <c r="E3" s="183" t="str">
        <f>IF(Data!C2&gt;0,Data!C2," ")</f>
        <v xml:space="preserve"> </v>
      </c>
      <c r="F3" s="184" t="s">
        <v>48</v>
      </c>
      <c r="G3" s="185"/>
      <c r="H3" s="3"/>
      <c r="I3" s="3"/>
      <c r="J3" s="3"/>
      <c r="K3" s="3"/>
      <c r="L3" s="3"/>
      <c r="M3" s="3"/>
    </row>
    <row r="4" spans="1:13" ht="15" thickBot="1">
      <c r="A4" s="186" t="s">
        <v>49</v>
      </c>
      <c r="B4" s="187" t="s">
        <v>119</v>
      </c>
      <c r="C4" s="187"/>
      <c r="D4" s="188"/>
      <c r="E4" s="189"/>
      <c r="F4" s="227" t="s">
        <v>217</v>
      </c>
      <c r="G4" s="228" t="str">
        <f>IF(Data!F20&gt;0,Data!F20,"Not Entered")</f>
        <v>Not Entered</v>
      </c>
      <c r="H4" s="3"/>
      <c r="I4" s="3"/>
      <c r="J4" s="3"/>
      <c r="K4" s="3"/>
      <c r="L4" s="3"/>
      <c r="M4" s="3"/>
    </row>
    <row r="5" spans="1:13">
      <c r="A5" s="190"/>
      <c r="B5" s="191" t="s">
        <v>0</v>
      </c>
      <c r="C5" s="189" t="s">
        <v>8</v>
      </c>
      <c r="D5" s="192">
        <f>Data!I7</f>
        <v>0</v>
      </c>
      <c r="E5" s="189"/>
      <c r="F5" s="635" t="s">
        <v>446</v>
      </c>
      <c r="G5" s="636">
        <f>D52</f>
        <v>0</v>
      </c>
      <c r="H5" s="3"/>
      <c r="I5" s="3"/>
      <c r="J5" s="3"/>
      <c r="K5" s="3"/>
      <c r="L5" s="3"/>
      <c r="M5" s="3"/>
    </row>
    <row r="6" spans="1:13">
      <c r="A6" s="190"/>
      <c r="B6" s="191" t="s">
        <v>1</v>
      </c>
      <c r="C6" s="189" t="s">
        <v>51</v>
      </c>
      <c r="D6" s="192">
        <f>Data!I8</f>
        <v>0</v>
      </c>
      <c r="E6" s="189"/>
      <c r="F6" s="375"/>
      <c r="G6" s="376"/>
      <c r="H6" s="3"/>
      <c r="I6" s="3"/>
      <c r="J6" s="3"/>
      <c r="K6" s="3"/>
      <c r="L6" s="3"/>
      <c r="M6" s="3"/>
    </row>
    <row r="7" spans="1:13">
      <c r="A7" s="190"/>
      <c r="B7" s="191" t="s">
        <v>4</v>
      </c>
      <c r="C7" s="189" t="s">
        <v>9</v>
      </c>
      <c r="D7" s="192" t="str">
        <f>IF(Data!C4&gt;1,IF(Data!C1&gt;1,Elig_Data!I9,Data!I9),"N/A")</f>
        <v>N/A</v>
      </c>
      <c r="E7" s="189"/>
      <c r="F7" s="375"/>
      <c r="G7" s="376"/>
      <c r="H7" s="3"/>
      <c r="I7" s="3"/>
      <c r="J7" s="3"/>
      <c r="K7" s="3"/>
      <c r="L7" s="3"/>
      <c r="M7" s="3"/>
    </row>
    <row r="8" spans="1:13">
      <c r="A8" s="190"/>
      <c r="B8" s="191" t="s">
        <v>5</v>
      </c>
      <c r="C8" s="191" t="s">
        <v>444</v>
      </c>
      <c r="D8" s="193"/>
      <c r="E8" s="194">
        <f>Sheet1!O19</f>
        <v>0</v>
      </c>
      <c r="F8" s="375"/>
      <c r="G8" s="376"/>
      <c r="H8" s="3"/>
      <c r="I8" s="3"/>
      <c r="J8" s="3"/>
      <c r="K8" s="3"/>
      <c r="L8" s="3"/>
      <c r="M8" s="3"/>
    </row>
    <row r="9" spans="1:13" ht="14.25">
      <c r="A9" s="186" t="s">
        <v>52</v>
      </c>
      <c r="B9" s="187" t="s">
        <v>53</v>
      </c>
      <c r="C9" s="187"/>
      <c r="D9" s="188"/>
      <c r="E9" s="189"/>
      <c r="F9" s="375"/>
      <c r="G9" s="376"/>
      <c r="H9" s="3"/>
      <c r="I9" s="3"/>
      <c r="J9" s="3"/>
      <c r="K9" s="3"/>
      <c r="L9" s="3"/>
      <c r="M9" s="3"/>
    </row>
    <row r="10" spans="1:13">
      <c r="A10" s="190"/>
      <c r="B10" s="191" t="s">
        <v>0</v>
      </c>
      <c r="C10" s="189" t="s">
        <v>10</v>
      </c>
      <c r="D10" s="192">
        <f>Data!C10</f>
        <v>0</v>
      </c>
      <c r="E10" s="189"/>
      <c r="F10" s="375"/>
      <c r="G10" s="376"/>
      <c r="H10" s="3"/>
      <c r="I10" s="288" t="s">
        <v>241</v>
      </c>
      <c r="J10" s="3"/>
      <c r="K10" s="3"/>
      <c r="L10" s="3"/>
      <c r="M10" s="3"/>
    </row>
    <row r="11" spans="1:13">
      <c r="A11" s="190"/>
      <c r="B11" s="191" t="s">
        <v>1</v>
      </c>
      <c r="C11" s="189" t="s">
        <v>11</v>
      </c>
      <c r="D11" s="192">
        <f>Data!C11</f>
        <v>0</v>
      </c>
      <c r="E11" s="189"/>
      <c r="F11" s="375"/>
      <c r="G11" s="376"/>
      <c r="H11" s="3"/>
      <c r="I11" s="289" t="s">
        <v>237</v>
      </c>
      <c r="J11" s="3"/>
      <c r="K11" s="3"/>
      <c r="L11" s="3"/>
      <c r="M11" s="3"/>
    </row>
    <row r="12" spans="1:13">
      <c r="A12" s="190"/>
      <c r="B12" s="191" t="s">
        <v>4</v>
      </c>
      <c r="C12" s="189" t="s">
        <v>12</v>
      </c>
      <c r="D12" s="192">
        <f>Data!C12</f>
        <v>0</v>
      </c>
      <c r="E12" s="189"/>
      <c r="F12" s="375"/>
      <c r="G12" s="376"/>
      <c r="H12" s="3"/>
      <c r="I12" s="289"/>
      <c r="J12" s="3"/>
      <c r="K12" s="3"/>
      <c r="L12" s="3"/>
      <c r="M12" s="3"/>
    </row>
    <row r="13" spans="1:13">
      <c r="A13" s="190"/>
      <c r="B13" s="191" t="s">
        <v>5</v>
      </c>
      <c r="C13" s="189" t="s">
        <v>13</v>
      </c>
      <c r="D13" s="192">
        <f>Data!C13</f>
        <v>0</v>
      </c>
      <c r="E13" s="189"/>
      <c r="F13" s="375"/>
      <c r="G13" s="376"/>
      <c r="H13" s="3"/>
      <c r="I13" s="289" t="s">
        <v>238</v>
      </c>
      <c r="J13" s="3"/>
      <c r="K13" s="3"/>
      <c r="L13" s="3"/>
      <c r="M13" s="3"/>
    </row>
    <row r="14" spans="1:13">
      <c r="A14" s="190"/>
      <c r="B14" s="191" t="s">
        <v>6</v>
      </c>
      <c r="C14" s="189" t="s">
        <v>54</v>
      </c>
      <c r="D14" s="192">
        <f>Data!C14</f>
        <v>0</v>
      </c>
      <c r="E14" s="189"/>
      <c r="F14" s="375"/>
      <c r="G14" s="376"/>
      <c r="H14" s="3"/>
      <c r="I14" s="289" t="s">
        <v>239</v>
      </c>
      <c r="J14" s="3"/>
      <c r="K14" s="3"/>
      <c r="L14" s="3"/>
      <c r="M14" s="3"/>
    </row>
    <row r="15" spans="1:13">
      <c r="A15" s="190"/>
      <c r="B15" s="191" t="s">
        <v>55</v>
      </c>
      <c r="C15" s="191" t="s">
        <v>445</v>
      </c>
      <c r="D15" s="193"/>
      <c r="E15" s="194">
        <f>Sheet1!O15</f>
        <v>0</v>
      </c>
      <c r="F15" s="375"/>
      <c r="G15" s="376"/>
      <c r="H15" s="3"/>
      <c r="I15" s="289" t="s">
        <v>240</v>
      </c>
      <c r="J15" s="3"/>
      <c r="K15" s="3"/>
      <c r="L15" s="3"/>
      <c r="M15" s="3"/>
    </row>
    <row r="16" spans="1:13">
      <c r="A16" s="190" t="s">
        <v>56</v>
      </c>
      <c r="B16" s="189" t="s">
        <v>57</v>
      </c>
      <c r="C16" s="189"/>
      <c r="D16" s="188"/>
      <c r="E16" s="189"/>
      <c r="F16" s="375"/>
      <c r="G16" s="376"/>
      <c r="H16" s="3"/>
      <c r="I16" s="290"/>
      <c r="J16" s="3"/>
      <c r="K16" s="3"/>
      <c r="L16" s="3"/>
      <c r="M16" s="3"/>
    </row>
    <row r="17" spans="1:13">
      <c r="A17" s="190"/>
      <c r="B17" s="191" t="s">
        <v>0</v>
      </c>
      <c r="C17" s="189" t="s">
        <v>43</v>
      </c>
      <c r="D17" s="195" t="str">
        <f>IF(Data!C4&gt;1,Data!C3,"N/A")</f>
        <v>N/A</v>
      </c>
      <c r="E17" s="189"/>
      <c r="F17" s="375"/>
      <c r="G17" s="376"/>
      <c r="H17" s="3"/>
      <c r="I17" s="3"/>
      <c r="J17" s="3"/>
      <c r="K17" s="3"/>
      <c r="L17" s="3"/>
      <c r="M17" s="3"/>
    </row>
    <row r="18" spans="1:13">
      <c r="A18" s="190"/>
      <c r="B18" s="191" t="s">
        <v>1</v>
      </c>
      <c r="C18" s="189" t="s">
        <v>58</v>
      </c>
      <c r="D18" s="188"/>
      <c r="E18" s="368" t="e">
        <f>Results!D2</f>
        <v>#N/A</v>
      </c>
      <c r="F18" s="375"/>
      <c r="G18" s="376"/>
      <c r="H18" s="3"/>
      <c r="I18" s="3"/>
      <c r="J18" s="3"/>
      <c r="K18" s="3"/>
      <c r="L18" s="3"/>
      <c r="M18" s="3"/>
    </row>
    <row r="19" spans="1:13">
      <c r="A19" s="190"/>
      <c r="B19" s="191" t="s">
        <v>4</v>
      </c>
      <c r="C19" s="189" t="s">
        <v>59</v>
      </c>
      <c r="D19" s="188"/>
      <c r="E19" s="196">
        <f>Results!D1</f>
        <v>0</v>
      </c>
      <c r="F19" s="375"/>
      <c r="G19" s="376"/>
      <c r="H19" s="3"/>
      <c r="I19" s="3"/>
      <c r="J19" s="3"/>
      <c r="K19" s="3"/>
      <c r="L19" s="3"/>
      <c r="M19" s="3"/>
    </row>
    <row r="20" spans="1:13" ht="13.5" thickBot="1">
      <c r="A20" s="190"/>
      <c r="B20" s="191" t="s">
        <v>5</v>
      </c>
      <c r="C20" s="189" t="s">
        <v>60</v>
      </c>
      <c r="D20" s="188"/>
      <c r="E20" s="369" t="str">
        <f>Results!D3</f>
        <v xml:space="preserve"> </v>
      </c>
      <c r="F20" s="375"/>
      <c r="G20" s="376"/>
      <c r="H20" s="3"/>
      <c r="I20" s="3"/>
      <c r="J20" s="3"/>
      <c r="K20" s="3"/>
      <c r="L20" s="3"/>
      <c r="M20" s="3"/>
    </row>
    <row r="21" spans="1:13" ht="15" thickBot="1">
      <c r="A21" s="197" t="s">
        <v>61</v>
      </c>
      <c r="B21" s="198"/>
      <c r="C21" s="198"/>
      <c r="D21" s="199" t="s">
        <v>62</v>
      </c>
      <c r="E21" s="200" t="str">
        <f>IF(Data!C1&gt;1,"Retrospective","Prospective")</f>
        <v>Prospective</v>
      </c>
      <c r="F21" s="375"/>
      <c r="G21" s="376"/>
      <c r="H21" s="3"/>
      <c r="I21" s="360" t="s">
        <v>275</v>
      </c>
      <c r="J21" s="3"/>
      <c r="K21" s="3"/>
      <c r="L21" s="3"/>
      <c r="M21" s="3"/>
    </row>
    <row r="22" spans="1:13">
      <c r="A22" s="190" t="s">
        <v>63</v>
      </c>
      <c r="B22" s="191" t="s">
        <v>118</v>
      </c>
      <c r="C22" s="189"/>
      <c r="D22" s="188"/>
      <c r="E22" s="189"/>
      <c r="F22" s="375"/>
      <c r="G22" s="376"/>
      <c r="H22" s="3"/>
      <c r="I22" s="360" t="s">
        <v>274</v>
      </c>
      <c r="J22" s="3"/>
      <c r="K22" s="3"/>
      <c r="L22" s="3"/>
      <c r="M22" s="3"/>
    </row>
    <row r="23" spans="1:13">
      <c r="A23" s="190"/>
      <c r="B23" s="191" t="s">
        <v>0</v>
      </c>
      <c r="C23" s="189" t="s">
        <v>64</v>
      </c>
      <c r="D23" s="188"/>
      <c r="E23" s="194">
        <f>Results!D4</f>
        <v>0</v>
      </c>
      <c r="F23" s="375"/>
      <c r="G23" s="376"/>
      <c r="H23" s="3"/>
      <c r="I23" s="360" t="s">
        <v>273</v>
      </c>
      <c r="J23" s="3"/>
      <c r="K23" s="3"/>
      <c r="L23" s="3"/>
      <c r="M23" s="3"/>
    </row>
    <row r="24" spans="1:13">
      <c r="A24" s="190"/>
      <c r="B24" s="191" t="s">
        <v>1</v>
      </c>
      <c r="C24" s="189" t="s">
        <v>65</v>
      </c>
      <c r="D24" s="188"/>
      <c r="E24" s="194">
        <f>E23</f>
        <v>0</v>
      </c>
      <c r="F24" s="375"/>
      <c r="G24" s="376"/>
      <c r="H24" s="3"/>
      <c r="I24" s="3"/>
      <c r="J24" s="3"/>
      <c r="K24" s="3"/>
      <c r="L24" s="3"/>
      <c r="M24" s="3"/>
    </row>
    <row r="25" spans="1:13" ht="14.25">
      <c r="A25" s="201" t="s">
        <v>66</v>
      </c>
      <c r="B25" s="187" t="s">
        <v>50</v>
      </c>
      <c r="C25" s="187"/>
      <c r="D25" s="188"/>
      <c r="E25" s="189"/>
      <c r="F25" s="375"/>
      <c r="G25" s="376"/>
      <c r="H25" s="3"/>
      <c r="I25" s="3"/>
      <c r="J25" s="3"/>
      <c r="K25" s="3"/>
      <c r="L25" s="3"/>
      <c r="M25" s="3"/>
    </row>
    <row r="26" spans="1:13" ht="14.25">
      <c r="A26" s="201"/>
      <c r="B26" s="187"/>
      <c r="C26" s="187" t="s">
        <v>120</v>
      </c>
      <c r="D26" s="188"/>
      <c r="E26" s="189"/>
      <c r="F26" s="375"/>
      <c r="G26" s="376"/>
      <c r="H26" s="3"/>
      <c r="I26" s="3"/>
      <c r="J26" s="3"/>
      <c r="K26" s="3"/>
      <c r="L26" s="3"/>
      <c r="M26" s="3"/>
    </row>
    <row r="27" spans="1:13">
      <c r="A27" s="190"/>
      <c r="B27" s="191" t="s">
        <v>0</v>
      </c>
      <c r="C27" s="189" t="s">
        <v>8</v>
      </c>
      <c r="D27" s="192" t="str">
        <f>IF(OR(Data!C1&gt;1,Data!C4=1),Data!I7," ")</f>
        <v xml:space="preserve"> </v>
      </c>
      <c r="E27" s="189"/>
      <c r="F27" s="375"/>
      <c r="G27" s="376"/>
      <c r="H27" s="3"/>
      <c r="I27" s="3"/>
      <c r="J27" s="3"/>
      <c r="K27" s="3"/>
      <c r="L27" s="3"/>
      <c r="M27" s="3"/>
    </row>
    <row r="28" spans="1:13">
      <c r="A28" s="190"/>
      <c r="B28" s="191" t="s">
        <v>1</v>
      </c>
      <c r="C28" s="189" t="s">
        <v>51</v>
      </c>
      <c r="D28" s="192" t="str">
        <f>IF(OR(Data!C1&gt;1,Data!C4=1),Data!I8," ")</f>
        <v xml:space="preserve"> </v>
      </c>
      <c r="E28" s="189"/>
      <c r="F28" s="375"/>
      <c r="G28" s="376"/>
      <c r="H28" s="3"/>
      <c r="I28" s="3"/>
      <c r="J28" s="3"/>
      <c r="K28" s="3"/>
      <c r="L28" s="3"/>
      <c r="M28" s="3"/>
    </row>
    <row r="29" spans="1:13">
      <c r="A29" s="190"/>
      <c r="B29" s="191" t="s">
        <v>4</v>
      </c>
      <c r="C29" s="189" t="s">
        <v>9</v>
      </c>
      <c r="D29" s="192" t="str">
        <f>IF(OR(Data!C1&gt;1,Data!C4=1),Data!I9," ")</f>
        <v xml:space="preserve"> </v>
      </c>
      <c r="E29" s="189"/>
      <c r="F29" s="375"/>
      <c r="G29" s="376"/>
      <c r="H29" s="3"/>
      <c r="I29" s="3"/>
      <c r="J29" s="3"/>
      <c r="K29" s="3"/>
      <c r="L29" s="3"/>
      <c r="M29" s="3"/>
    </row>
    <row r="30" spans="1:13">
      <c r="A30" s="190"/>
      <c r="B30" s="191" t="s">
        <v>5</v>
      </c>
      <c r="C30" s="191" t="s">
        <v>67</v>
      </c>
      <c r="D30" s="192" t="str">
        <f>IF(OR(Data!C1&gt;1,Data!C4=1),SUM(D27:D29)," ")</f>
        <v xml:space="preserve"> </v>
      </c>
      <c r="E30" s="189"/>
      <c r="F30" s="375"/>
      <c r="G30" s="376"/>
      <c r="H30" s="3"/>
      <c r="I30" s="3"/>
      <c r="J30" s="3"/>
      <c r="K30" s="3"/>
      <c r="L30" s="3"/>
      <c r="M30" s="3"/>
    </row>
    <row r="31" spans="1:13">
      <c r="A31" s="190"/>
      <c r="B31" s="191" t="s">
        <v>6</v>
      </c>
      <c r="C31" s="202" t="s">
        <v>68</v>
      </c>
      <c r="D31" s="188"/>
      <c r="E31" s="194" t="str">
        <f>IF(OR(Data!C1&gt;1,Data!C4=1),D30*0.8," ")</f>
        <v xml:space="preserve"> </v>
      </c>
      <c r="F31" s="375"/>
      <c r="G31" s="376"/>
      <c r="H31" s="3"/>
      <c r="I31" s="3"/>
      <c r="J31" s="3"/>
      <c r="K31" s="3"/>
      <c r="L31" s="3"/>
      <c r="M31" s="3"/>
    </row>
    <row r="32" spans="1:13" ht="14.25">
      <c r="A32" s="201" t="s">
        <v>69</v>
      </c>
      <c r="B32" s="187" t="s">
        <v>53</v>
      </c>
      <c r="C32" s="187"/>
      <c r="D32" s="188"/>
      <c r="E32" s="189"/>
      <c r="F32" s="229"/>
      <c r="G32" s="230"/>
      <c r="H32" s="3"/>
      <c r="I32" s="3"/>
      <c r="J32" s="3"/>
      <c r="K32" s="3"/>
      <c r="L32" s="3"/>
      <c r="M32" s="3"/>
    </row>
    <row r="33" spans="1:13">
      <c r="A33" s="190"/>
      <c r="B33" s="191" t="s">
        <v>0</v>
      </c>
      <c r="C33" s="189" t="s">
        <v>10</v>
      </c>
      <c r="D33" s="192">
        <f>D10</f>
        <v>0</v>
      </c>
      <c r="E33" s="189"/>
      <c r="F33" s="229"/>
      <c r="G33" s="230"/>
      <c r="H33" s="3"/>
      <c r="I33" s="3"/>
      <c r="J33" s="3"/>
      <c r="K33" s="3"/>
      <c r="L33" s="3"/>
      <c r="M33" s="3"/>
    </row>
    <row r="34" spans="1:13" ht="13.5" thickBot="1">
      <c r="A34" s="190"/>
      <c r="B34" s="191" t="s">
        <v>1</v>
      </c>
      <c r="C34" s="189" t="s">
        <v>11</v>
      </c>
      <c r="D34" s="192">
        <f>Data!I11</f>
        <v>0</v>
      </c>
      <c r="E34" s="189"/>
      <c r="F34" s="229"/>
      <c r="G34" s="230"/>
      <c r="H34" s="3"/>
      <c r="I34" s="3"/>
      <c r="J34" s="3"/>
      <c r="K34" s="3"/>
      <c r="L34" s="3"/>
      <c r="M34" s="3"/>
    </row>
    <row r="35" spans="1:13" ht="13.5" thickBot="1">
      <c r="A35" s="190"/>
      <c r="B35" s="191" t="s">
        <v>4</v>
      </c>
      <c r="C35" s="189" t="s">
        <v>12</v>
      </c>
      <c r="D35" s="192">
        <f>Data!I12</f>
        <v>0</v>
      </c>
      <c r="E35" s="189"/>
      <c r="F35" s="253" t="s">
        <v>256</v>
      </c>
      <c r="G35" s="254"/>
      <c r="H35" s="3"/>
      <c r="I35" s="3"/>
      <c r="J35" s="3"/>
      <c r="K35" s="3"/>
      <c r="L35" s="3"/>
      <c r="M35" s="3"/>
    </row>
    <row r="36" spans="1:13" ht="13.5" thickTop="1">
      <c r="A36" s="190"/>
      <c r="B36" s="191" t="s">
        <v>5</v>
      </c>
      <c r="C36" s="189" t="s">
        <v>13</v>
      </c>
      <c r="D36" s="192">
        <f>Data!C13</f>
        <v>0</v>
      </c>
      <c r="E36" s="189"/>
      <c r="F36" s="203" t="str">
        <f>IF('Ex-CFAP'!E3&gt;0,"Federal FS Benefits Calculation"," ")</f>
        <v xml:space="preserve"> </v>
      </c>
      <c r="G36" s="204"/>
      <c r="H36" s="3"/>
      <c r="I36" s="3"/>
      <c r="J36" s="3"/>
      <c r="K36" s="3"/>
      <c r="L36" s="3"/>
      <c r="M36" s="3"/>
    </row>
    <row r="37" spans="1:13">
      <c r="A37" s="190"/>
      <c r="B37" s="191" t="s">
        <v>6</v>
      </c>
      <c r="C37" s="189" t="s">
        <v>54</v>
      </c>
      <c r="D37" s="192">
        <f>Data!C14</f>
        <v>0</v>
      </c>
      <c r="E37" s="189"/>
      <c r="F37" s="205" t="str">
        <f>IF('Ex-CFAP'!E3&gt;0,"for Mixed Federal/CFAP Households"," ")</f>
        <v xml:space="preserve"> </v>
      </c>
      <c r="G37" s="206"/>
      <c r="H37" s="3"/>
      <c r="I37" s="3"/>
      <c r="J37" s="3"/>
      <c r="K37" s="3"/>
      <c r="L37" s="3"/>
      <c r="M37" s="3"/>
    </row>
    <row r="38" spans="1:13">
      <c r="A38" s="190"/>
      <c r="B38" s="191" t="s">
        <v>55</v>
      </c>
      <c r="C38" s="191" t="s">
        <v>70</v>
      </c>
      <c r="D38" s="207"/>
      <c r="E38" s="196">
        <f>SUM(D33:D37)</f>
        <v>0</v>
      </c>
      <c r="F38" s="188" t="str">
        <f>IF('Ex-CFAP'!E3&gt;0,"CFAP Persons Count"," ")</f>
        <v xml:space="preserve"> </v>
      </c>
      <c r="G38" s="208" t="str">
        <f>IF('Ex-CFAP'!$E$3&gt;0,'Ex-CFAP'!E3," ")</f>
        <v xml:space="preserve"> </v>
      </c>
      <c r="H38" s="3"/>
      <c r="I38" s="3"/>
      <c r="J38" s="3"/>
      <c r="K38" s="3"/>
      <c r="L38" s="3"/>
      <c r="M38" s="3"/>
    </row>
    <row r="39" spans="1:13">
      <c r="A39" s="190"/>
      <c r="B39" s="191" t="s">
        <v>71</v>
      </c>
      <c r="C39" s="202" t="s">
        <v>72</v>
      </c>
      <c r="D39" s="188"/>
      <c r="E39" s="634">
        <f>E24+E38</f>
        <v>0</v>
      </c>
      <c r="F39" s="188" t="str">
        <f>IF('Ex-CFAP'!E3&gt;0,"Federal Persons Count"," ")</f>
        <v xml:space="preserve"> </v>
      </c>
      <c r="G39" s="208" t="str">
        <f>IF('Ex-CFAP'!$E$3&gt;0,'Ex-CFAP'!G3," ")</f>
        <v xml:space="preserve"> </v>
      </c>
      <c r="H39" s="3"/>
      <c r="I39" s="3"/>
      <c r="J39" s="3"/>
      <c r="K39" s="3"/>
      <c r="L39" s="3"/>
      <c r="M39" s="3"/>
    </row>
    <row r="40" spans="1:13">
      <c r="A40" s="190" t="s">
        <v>73</v>
      </c>
      <c r="B40" s="191" t="s">
        <v>74</v>
      </c>
      <c r="C40" s="189"/>
      <c r="D40" s="188"/>
      <c r="E40" s="189"/>
      <c r="F40" s="188" t="str">
        <f>IF('Ex-CFAP'!E3&gt;0,"Federal Person Earnings"," ")</f>
        <v xml:space="preserve"> </v>
      </c>
      <c r="G40" s="209" t="str">
        <f>IF('Ex-CFAP'!$E$3&gt;0,'Ex-CFAP'!G6," ")</f>
        <v xml:space="preserve"> </v>
      </c>
      <c r="H40" s="3"/>
      <c r="I40" s="3"/>
      <c r="J40" s="3"/>
      <c r="K40" s="3"/>
      <c r="L40" s="3"/>
      <c r="M40" s="3"/>
    </row>
    <row r="41" spans="1:13">
      <c r="A41" s="190"/>
      <c r="B41" s="191" t="s">
        <v>75</v>
      </c>
      <c r="C41" s="189"/>
      <c r="D41" s="188"/>
      <c r="E41" s="189"/>
      <c r="F41" s="188" t="str">
        <f>IF('Ex-CFAP'!E3&gt;0,"Fed. Share of EP Earnings"," ")</f>
        <v xml:space="preserve"> </v>
      </c>
      <c r="G41" s="209" t="str">
        <f>IF('Ex-CFAP'!$E$3&gt;0,'Ex-CFAP'!G7," ")</f>
        <v xml:space="preserve"> </v>
      </c>
      <c r="H41" s="3"/>
      <c r="I41" s="3"/>
      <c r="J41" s="3"/>
      <c r="K41" s="3"/>
      <c r="L41" s="3"/>
      <c r="M41" s="3"/>
    </row>
    <row r="42" spans="1:13">
      <c r="A42" s="190"/>
      <c r="B42" s="191" t="s">
        <v>0</v>
      </c>
      <c r="C42" s="189" t="s">
        <v>24</v>
      </c>
      <c r="D42" s="192" t="str">
        <f>Results!D7</f>
        <v xml:space="preserve"> </v>
      </c>
      <c r="E42" s="500"/>
      <c r="F42" s="188" t="str">
        <f>IF('Ex-CFAP'!E3&gt;0,"80% of Total Earnings"," ")</f>
        <v xml:space="preserve"> </v>
      </c>
      <c r="G42" s="209" t="str">
        <f>IF('Ex-CFAP'!$E$3&gt;0,'Ex-CFAP'!G8," ")</f>
        <v xml:space="preserve"> </v>
      </c>
      <c r="H42" s="3"/>
      <c r="I42" s="3"/>
      <c r="J42" s="3"/>
      <c r="K42" s="3"/>
      <c r="L42" s="3"/>
      <c r="M42" s="3"/>
    </row>
    <row r="43" spans="1:13">
      <c r="A43" s="190"/>
      <c r="B43" s="191" t="s">
        <v>1</v>
      </c>
      <c r="C43" s="189" t="s">
        <v>76</v>
      </c>
      <c r="D43" s="193"/>
      <c r="E43" s="189"/>
      <c r="F43" s="188" t="str">
        <f>IF('Ex-CFAP'!E3&gt;0,"Fed. Persons Unearned Income"," ")</f>
        <v xml:space="preserve"> </v>
      </c>
      <c r="G43" s="209" t="str">
        <f>IF('Ex-CFAP'!$E$3&gt;0,'Ex-CFAP'!G9," ")</f>
        <v xml:space="preserve"> </v>
      </c>
      <c r="H43" s="3"/>
      <c r="I43" s="3"/>
      <c r="J43" s="3"/>
      <c r="K43" s="3"/>
      <c r="L43" s="3"/>
      <c r="M43" s="3"/>
    </row>
    <row r="44" spans="1:13">
      <c r="A44" s="190"/>
      <c r="B44" s="189"/>
      <c r="C44" s="191" t="s">
        <v>77</v>
      </c>
      <c r="D44" s="192">
        <f>Data!I16</f>
        <v>0</v>
      </c>
      <c r="E44" s="189"/>
      <c r="F44" s="188" t="str">
        <f>IF('Ex-CFAP'!E3&gt;0,"Fed. Share of EP Unearned Inc."," ")</f>
        <v xml:space="preserve"> </v>
      </c>
      <c r="G44" s="209" t="str">
        <f>IF('Ex-CFAP'!$E$3&gt;0,'Ex-CFAP'!G10," ")</f>
        <v xml:space="preserve"> </v>
      </c>
      <c r="H44" s="3"/>
      <c r="I44" s="3"/>
      <c r="J44" s="3"/>
      <c r="K44" s="3"/>
      <c r="L44" s="3"/>
      <c r="M44" s="3"/>
    </row>
    <row r="45" spans="1:13">
      <c r="A45" s="190"/>
      <c r="B45" s="189"/>
      <c r="C45" s="191" t="s">
        <v>78</v>
      </c>
      <c r="D45" s="192" t="e">
        <f>Data!I17</f>
        <v>#DIV/0!</v>
      </c>
      <c r="E45" s="189"/>
      <c r="F45" s="188" t="str">
        <f>IF('Ex-CFAP'!E3&gt;0,"Standard Deduction"," ")</f>
        <v xml:space="preserve"> </v>
      </c>
      <c r="G45" s="209" t="str">
        <f>IF('Ex-CFAP'!$E$3&gt;0,'Ex-CFAP'!G11," ")</f>
        <v xml:space="preserve"> </v>
      </c>
      <c r="H45" s="3"/>
      <c r="I45" s="3"/>
      <c r="J45" s="3"/>
      <c r="K45" s="3"/>
      <c r="L45" s="3"/>
      <c r="M45" s="3"/>
    </row>
    <row r="46" spans="1:13">
      <c r="A46" s="190"/>
      <c r="B46" s="189"/>
      <c r="C46" s="189" t="s">
        <v>79</v>
      </c>
      <c r="D46" s="188"/>
      <c r="E46" s="196" t="e">
        <f>D44+D45</f>
        <v>#DIV/0!</v>
      </c>
      <c r="F46" s="188" t="str">
        <f>IF('Ex-CFAP'!E3&gt;0,"Net Medical Deduction"," ")</f>
        <v xml:space="preserve"> </v>
      </c>
      <c r="G46" s="210"/>
      <c r="H46" s="3"/>
      <c r="I46" s="3"/>
      <c r="J46" s="3"/>
      <c r="K46" s="3"/>
      <c r="L46" s="3"/>
      <c r="M46" s="3"/>
    </row>
    <row r="47" spans="1:13">
      <c r="A47" s="190"/>
      <c r="B47" s="191" t="s">
        <v>4</v>
      </c>
      <c r="C47" s="189" t="s">
        <v>40</v>
      </c>
      <c r="D47" s="188"/>
      <c r="E47" s="196" t="str">
        <f>Results!D9</f>
        <v>N/A</v>
      </c>
      <c r="F47" s="188" t="str">
        <f>IF('Ex-CFAP'!E3&gt;0,"Other Fed. Pers. Deductions"," ")</f>
        <v xml:space="preserve"> </v>
      </c>
      <c r="G47" s="209" t="str">
        <f>IF('Ex-CFAP'!$E$3&gt;0,'Ex-CFAP'!G13," ")</f>
        <v xml:space="preserve"> </v>
      </c>
      <c r="H47" s="3"/>
      <c r="I47" s="3"/>
      <c r="J47" s="3"/>
      <c r="K47" s="3"/>
      <c r="L47" s="3"/>
      <c r="M47" s="3"/>
    </row>
    <row r="48" spans="1:13">
      <c r="A48" s="190"/>
      <c r="B48" s="191" t="s">
        <v>80</v>
      </c>
      <c r="C48" s="189" t="s">
        <v>81</v>
      </c>
      <c r="D48" s="188"/>
      <c r="E48" s="196">
        <f>Results!D10</f>
        <v>0</v>
      </c>
      <c r="F48" s="188" t="str">
        <f>IF('Ex-CFAP'!E3&gt;0,"Preliminary Adjusted Income"," ")</f>
        <v xml:space="preserve"> </v>
      </c>
      <c r="G48" s="209" t="str">
        <f>IF('Ex-CFAP'!$E$3&gt;0,'Ex-CFAP'!G14," ")</f>
        <v xml:space="preserve"> </v>
      </c>
      <c r="H48" s="3"/>
      <c r="I48" s="3"/>
      <c r="J48" s="3"/>
      <c r="K48" s="3"/>
      <c r="L48" s="3"/>
      <c r="M48" s="3"/>
    </row>
    <row r="49" spans="1:13">
      <c r="A49" s="190"/>
      <c r="B49" s="191" t="s">
        <v>5</v>
      </c>
      <c r="C49" s="189" t="s">
        <v>82</v>
      </c>
      <c r="D49" s="188"/>
      <c r="E49" s="634" t="e">
        <f>SUM(E46:E48)+SUM(D42)</f>
        <v>#DIV/0!</v>
      </c>
      <c r="F49" s="188" t="str">
        <f>IF('Ex-CFAP'!E3&gt;0,"Actual Shelter Expense"," ")</f>
        <v xml:space="preserve"> </v>
      </c>
      <c r="G49" s="209" t="str">
        <f>IF('Ex-CFAP'!$E$3&gt;0,'Ex-CFAP'!G15," ")</f>
        <v xml:space="preserve"> </v>
      </c>
      <c r="H49" s="3"/>
      <c r="I49" s="3"/>
      <c r="J49" s="3"/>
      <c r="K49" s="3"/>
      <c r="L49" s="3"/>
      <c r="M49" s="3"/>
    </row>
    <row r="50" spans="1:13">
      <c r="A50" s="190"/>
      <c r="B50" s="191" t="s">
        <v>6</v>
      </c>
      <c r="C50" s="189" t="s">
        <v>83</v>
      </c>
      <c r="D50" s="188"/>
      <c r="E50" s="634" t="e">
        <f>E39-E49</f>
        <v>#DIV/0!</v>
      </c>
      <c r="F50" s="188" t="str">
        <f>IF('Ex-CFAP'!E3&gt;0,"Allowable Shelter Expense"," ")</f>
        <v xml:space="preserve"> </v>
      </c>
      <c r="G50" s="209" t="str">
        <f>IF('Ex-CFAP'!$E$3&gt;0,'Ex-CFAP'!G16," ")</f>
        <v xml:space="preserve"> </v>
      </c>
      <c r="H50" s="3"/>
      <c r="I50" s="3"/>
      <c r="J50" s="3"/>
      <c r="K50" s="3"/>
      <c r="L50" s="3"/>
      <c r="M50" s="3"/>
    </row>
    <row r="51" spans="1:13">
      <c r="A51" s="190" t="s">
        <v>84</v>
      </c>
      <c r="B51" s="372" t="s">
        <v>278</v>
      </c>
      <c r="C51" s="189"/>
      <c r="D51" s="188"/>
      <c r="E51" s="189"/>
      <c r="F51" s="188" t="str">
        <f>IF('Ex-CFAP'!E3&gt;0,"Aged/Disabled Fed. Person?"," ")</f>
        <v xml:space="preserve"> </v>
      </c>
      <c r="G51" s="211" t="str">
        <f>IF('Ex-CFAP'!$E$3&gt;0,IF('Ex-CFAP'!E5&gt;0,"Yes","No")," ")</f>
        <v xml:space="preserve"> </v>
      </c>
      <c r="H51" s="3"/>
      <c r="I51" s="3"/>
      <c r="J51" s="3"/>
      <c r="K51" s="3"/>
      <c r="L51" s="3"/>
      <c r="M51" s="3"/>
    </row>
    <row r="52" spans="1:13">
      <c r="A52" s="190"/>
      <c r="B52" s="191" t="s">
        <v>0</v>
      </c>
      <c r="C52" s="189" t="s">
        <v>85</v>
      </c>
      <c r="D52" s="192">
        <f>Data!I19</f>
        <v>0</v>
      </c>
      <c r="E52" s="189"/>
      <c r="F52" s="188" t="str">
        <f>IF('Ex-CFAP'!E3&gt;0,"Excess Shelter Deduction"," ")</f>
        <v xml:space="preserve"> </v>
      </c>
      <c r="G52" s="209" t="str">
        <f>IF('Ex-CFAP'!$E$3&gt;0,'Ex-CFAP'!G17," ")</f>
        <v xml:space="preserve"> </v>
      </c>
      <c r="H52" s="3"/>
      <c r="I52" s="3"/>
      <c r="J52" s="3"/>
      <c r="K52" s="3"/>
      <c r="L52" s="3"/>
      <c r="M52" s="3"/>
    </row>
    <row r="53" spans="1:13">
      <c r="A53" s="190"/>
      <c r="B53" s="191" t="s">
        <v>1</v>
      </c>
      <c r="C53" s="189" t="s">
        <v>86</v>
      </c>
      <c r="D53" s="188"/>
      <c r="E53" s="634" t="e">
        <f>Results!D12</f>
        <v>#DIV/0!</v>
      </c>
      <c r="F53" s="188" t="str">
        <f>IF('Ex-CFAP'!E3&gt;0,"Net Income"," ")</f>
        <v xml:space="preserve"> </v>
      </c>
      <c r="G53" s="209" t="str">
        <f>IF('Ex-CFAP'!$E$3&gt;0,'Ex-CFAP'!G18," ")</f>
        <v xml:space="preserve"> </v>
      </c>
      <c r="H53" s="3"/>
      <c r="I53" s="3"/>
      <c r="J53" s="3"/>
      <c r="K53" s="3"/>
      <c r="L53" s="3"/>
      <c r="M53" s="3"/>
    </row>
    <row r="54" spans="1:13">
      <c r="A54" s="190" t="s">
        <v>87</v>
      </c>
      <c r="B54" s="189" t="s">
        <v>29</v>
      </c>
      <c r="C54" s="189"/>
      <c r="D54" s="188"/>
      <c r="E54" s="189"/>
      <c r="F54" s="188" t="str">
        <f>IF('Ex-CFAP'!E3&gt;0,"Federal FS Amount"," ")</f>
        <v xml:space="preserve"> </v>
      </c>
      <c r="G54" s="640" t="e">
        <f>'Ex-CFAP'!G20</f>
        <v>#N/A</v>
      </c>
      <c r="H54" s="3"/>
      <c r="I54" s="3"/>
      <c r="J54" s="3"/>
      <c r="K54" s="3"/>
      <c r="L54" s="3"/>
      <c r="M54" s="3"/>
    </row>
    <row r="55" spans="1:13">
      <c r="A55" s="190"/>
      <c r="B55" s="191" t="s">
        <v>0</v>
      </c>
      <c r="C55" s="189" t="s">
        <v>14</v>
      </c>
      <c r="D55" s="192" t="str">
        <f>Results!D14</f>
        <v xml:space="preserve"> </v>
      </c>
      <c r="E55" s="189"/>
      <c r="F55" s="188" t="str">
        <f>IF('Ex-CFAP'!E3&gt;0,"CFAP Share of Cost"," ")</f>
        <v xml:space="preserve"> </v>
      </c>
      <c r="G55" s="209" t="str">
        <f>IF('Ex-CFAP'!$E$3&gt;0,'Ex-CFAP'!F20," ")</f>
        <v xml:space="preserve"> </v>
      </c>
      <c r="H55" s="3"/>
      <c r="I55" s="3"/>
      <c r="J55" s="3"/>
      <c r="K55" s="3"/>
      <c r="L55" s="3"/>
      <c r="M55" s="3"/>
    </row>
    <row r="56" spans="1:13" ht="13.5" thickBot="1">
      <c r="A56" s="190"/>
      <c r="B56" s="191" t="s">
        <v>1</v>
      </c>
      <c r="C56" s="189" t="s">
        <v>88</v>
      </c>
      <c r="D56" s="192" t="str">
        <f>Results!D15</f>
        <v xml:space="preserve"> </v>
      </c>
      <c r="E56" s="189"/>
      <c r="F56" s="188"/>
      <c r="G56" s="210"/>
      <c r="H56" s="3"/>
      <c r="I56" s="3"/>
      <c r="J56" s="3"/>
      <c r="K56" s="3"/>
      <c r="L56" s="3"/>
      <c r="M56" s="3"/>
    </row>
    <row r="57" spans="1:13" ht="13.5" thickTop="1">
      <c r="A57" s="190"/>
      <c r="B57" s="191" t="s">
        <v>4</v>
      </c>
      <c r="C57" s="189" t="s">
        <v>35</v>
      </c>
      <c r="D57" s="192">
        <f>SUM(D55:D56)</f>
        <v>0</v>
      </c>
      <c r="E57" s="189"/>
      <c r="F57" s="215" t="str">
        <f>IF('Ex-CFAP'!C3&gt;0,"Exlcuded Person (EP) Income Comp"," ")</f>
        <v xml:space="preserve"> </v>
      </c>
      <c r="G57" s="212"/>
      <c r="H57" s="3"/>
      <c r="I57" s="3"/>
      <c r="J57" s="3"/>
      <c r="K57" s="3"/>
      <c r="L57" s="3"/>
      <c r="M57" s="3"/>
    </row>
    <row r="58" spans="1:13">
      <c r="A58" s="190"/>
      <c r="B58" s="191" t="s">
        <v>5</v>
      </c>
      <c r="C58" s="189" t="s">
        <v>96</v>
      </c>
      <c r="D58" s="192" t="e">
        <f>Results!D17</f>
        <v>#DIV/0!</v>
      </c>
      <c r="E58" s="189"/>
      <c r="F58" s="188" t="str">
        <f>IF('Ex-CFAP'!C3&gt;0,"Excluded Persons Count"," ")</f>
        <v xml:space="preserve"> </v>
      </c>
      <c r="G58" s="208" t="str">
        <f>IF('Ex-CFAP'!C3&gt;0,'Ex-CFAP'!C3," ")</f>
        <v xml:space="preserve"> </v>
      </c>
      <c r="H58" s="3"/>
      <c r="I58" s="3"/>
      <c r="J58" s="3"/>
      <c r="K58" s="3"/>
      <c r="L58" s="3"/>
      <c r="M58" s="3"/>
    </row>
    <row r="59" spans="1:13">
      <c r="A59" s="190"/>
      <c r="B59" s="191" t="s">
        <v>6</v>
      </c>
      <c r="C59" s="189" t="s">
        <v>37</v>
      </c>
      <c r="D59" s="192" t="e">
        <f>Results!D18</f>
        <v>#DIV/0!</v>
      </c>
      <c r="E59" s="189"/>
      <c r="F59" s="188" t="str">
        <f>IF('Ex-CFAP'!C3&gt;0,"Total EP Earned Income"," ")</f>
        <v xml:space="preserve"> </v>
      </c>
      <c r="G59" s="209" t="str">
        <f>IF('Ex-CFAP'!C3&gt;0,SUM('Ex-CFAP'!C7)," ")</f>
        <v xml:space="preserve"> </v>
      </c>
      <c r="H59" s="3"/>
      <c r="I59" s="3"/>
      <c r="J59" s="3"/>
      <c r="K59" s="3"/>
      <c r="L59" s="3"/>
      <c r="M59" s="3"/>
    </row>
    <row r="60" spans="1:13">
      <c r="A60" s="190"/>
      <c r="B60" s="191" t="s">
        <v>55</v>
      </c>
      <c r="C60" s="189" t="s">
        <v>38</v>
      </c>
      <c r="D60" s="192" t="str">
        <f>Results!D19</f>
        <v xml:space="preserve"> </v>
      </c>
      <c r="E60" s="189"/>
      <c r="F60" s="188" t="str">
        <f>IF('Ex-CFAP'!C3&gt;0,"Total EP Unearned Income"," ")</f>
        <v xml:space="preserve"> </v>
      </c>
      <c r="G60" s="209" t="str">
        <f>IF('Ex-CFAP'!C3&gt;0,SUM('Ex-CFAP'!C10)," ")</f>
        <v xml:space="preserve"> </v>
      </c>
      <c r="H60" s="3"/>
      <c r="I60" s="3"/>
      <c r="J60" s="3"/>
      <c r="K60" s="3"/>
      <c r="L60" s="3"/>
      <c r="M60" s="3"/>
    </row>
    <row r="61" spans="1:13">
      <c r="A61" s="190"/>
      <c r="B61" s="191" t="s">
        <v>71</v>
      </c>
      <c r="C61" s="189" t="s">
        <v>89</v>
      </c>
      <c r="D61" s="188"/>
      <c r="E61" s="634" t="e">
        <f>Results!D20</f>
        <v>#DIV/0!</v>
      </c>
      <c r="F61" s="188" t="str">
        <f>IF('Ex-CFAP'!C3&gt;0,"FS HH Share of EP Income"," ")</f>
        <v xml:space="preserve"> </v>
      </c>
      <c r="G61" s="208" t="str">
        <f>IF('Ex-CFAP'!C3&gt;0,FIXED(Data!C3,0)&amp;"/"&amp;FIXED(Data!C3+'Ex-CFAP'!C3,0)," ")</f>
        <v xml:space="preserve"> </v>
      </c>
      <c r="H61" s="3"/>
      <c r="I61" s="3"/>
      <c r="J61" s="3"/>
      <c r="K61" s="3"/>
      <c r="L61" s="3"/>
      <c r="M61" s="3"/>
    </row>
    <row r="62" spans="1:13">
      <c r="A62" s="190" t="s">
        <v>90</v>
      </c>
      <c r="B62" s="367" t="s">
        <v>91</v>
      </c>
      <c r="C62" s="189"/>
      <c r="D62" s="188"/>
      <c r="E62" s="368" t="e">
        <f>Results!D21</f>
        <v>#DIV/0!</v>
      </c>
      <c r="F62" s="188" t="str">
        <f>IF('Ex-CFAP'!C3&gt;0,"FS HH Earned Income"," ")</f>
        <v xml:space="preserve"> </v>
      </c>
      <c r="G62" s="209" t="str">
        <f>IF('Ex-CFAP'!C3&gt;0,SUM(Data!H7)," ")</f>
        <v xml:space="preserve"> </v>
      </c>
      <c r="H62" s="3"/>
      <c r="I62" s="3"/>
      <c r="J62" s="3"/>
      <c r="K62" s="3"/>
      <c r="L62" s="3"/>
      <c r="M62" s="3"/>
    </row>
    <row r="63" spans="1:13">
      <c r="A63" s="190" t="s">
        <v>92</v>
      </c>
      <c r="B63" s="191" t="s">
        <v>93</v>
      </c>
      <c r="C63" s="189"/>
      <c r="D63" s="188"/>
      <c r="E63" s="189"/>
      <c r="F63" s="188" t="str">
        <f>IF('Ex-CFAP'!C3&gt;0,"FS HH Unearned Income"," ")</f>
        <v xml:space="preserve"> </v>
      </c>
      <c r="G63" s="209" t="str">
        <f>IF('Ex-CFAP'!C3&gt;0,SUM(Data!H14)," ")</f>
        <v xml:space="preserve"> </v>
      </c>
      <c r="H63" s="3"/>
      <c r="I63" s="3"/>
      <c r="J63" s="3"/>
      <c r="K63" s="3"/>
      <c r="L63" s="3"/>
      <c r="M63" s="3"/>
    </row>
    <row r="64" spans="1:13" ht="13.5" thickBot="1">
      <c r="A64" s="190"/>
      <c r="B64" s="191" t="s">
        <v>0</v>
      </c>
      <c r="C64" s="189" t="s">
        <v>43</v>
      </c>
      <c r="D64" s="638">
        <f>Data!C3</f>
        <v>0</v>
      </c>
      <c r="E64" s="189"/>
      <c r="F64" s="188"/>
      <c r="G64" s="210"/>
      <c r="H64" s="3"/>
      <c r="I64" s="3"/>
      <c r="J64" s="3"/>
      <c r="K64" s="3"/>
      <c r="L64" s="3"/>
      <c r="M64" s="3"/>
    </row>
    <row r="65" spans="1:13" ht="13.5" thickTop="1">
      <c r="A65" s="190"/>
      <c r="B65" s="191" t="s">
        <v>1</v>
      </c>
      <c r="C65" s="189" t="s">
        <v>94</v>
      </c>
      <c r="D65" s="192" t="e">
        <f>Results!G3</f>
        <v>#N/A</v>
      </c>
      <c r="E65" s="214" t="str">
        <f>IF(SUM(Data!G3)&gt;1,"Prorated Month"," ")</f>
        <v xml:space="preserve"> </v>
      </c>
      <c r="F65" s="215" t="str">
        <f>IF(Results!G15&gt;0,"Overissuance Adjustment"," ")</f>
        <v xml:space="preserve"> </v>
      </c>
      <c r="G65" s="642" t="str">
        <f>IF('Ex-CFAP'!E3&gt;0,"CFAP Case"," ")</f>
        <v xml:space="preserve"> </v>
      </c>
      <c r="H65" s="3"/>
      <c r="I65" s="3"/>
      <c r="J65" s="3"/>
      <c r="K65" s="3"/>
      <c r="L65" s="3"/>
      <c r="M65" s="3"/>
    </row>
    <row r="66" spans="1:13">
      <c r="A66" s="190"/>
      <c r="B66" s="191" t="s">
        <v>4</v>
      </c>
      <c r="C66" s="189" t="s">
        <v>95</v>
      </c>
      <c r="D66" s="489" t="str">
        <f>Results!G4</f>
        <v xml:space="preserve"> </v>
      </c>
      <c r="E66" s="216" t="str">
        <f>IF(SUM(Data!G3)&gt;1,"for "&amp;Results!G10&amp;" days"," ")</f>
        <v xml:space="preserve"> </v>
      </c>
      <c r="F66" s="188" t="str">
        <f>IF(Results!G15&gt;0,"Adjustment Amount:"," ")</f>
        <v xml:space="preserve"> </v>
      </c>
      <c r="G66" s="217" t="str">
        <f>IF(Results!G15&gt;0,Results!G15," ")</f>
        <v xml:space="preserve"> </v>
      </c>
      <c r="H66" s="3"/>
      <c r="I66" s="3"/>
      <c r="J66" s="3"/>
      <c r="K66" s="3"/>
      <c r="L66" s="3"/>
      <c r="M66" s="3"/>
    </row>
    <row r="67" spans="1:13">
      <c r="A67" s="190"/>
      <c r="B67" s="191">
        <v>4</v>
      </c>
      <c r="C67" s="372" t="s">
        <v>447</v>
      </c>
      <c r="D67" s="192" t="e">
        <f>Results!G7</f>
        <v>#N/A</v>
      </c>
      <c r="E67" s="216"/>
      <c r="F67" s="639" t="s">
        <v>448</v>
      </c>
      <c r="G67" s="209">
        <f>'Ex-CFAP'!G25</f>
        <v>0</v>
      </c>
      <c r="H67" s="3"/>
      <c r="I67" s="3"/>
      <c r="J67" s="3"/>
      <c r="K67" s="3"/>
      <c r="L67" s="3"/>
      <c r="M67" s="3"/>
    </row>
    <row r="68" spans="1:13">
      <c r="A68" s="190"/>
      <c r="B68" s="191">
        <v>5</v>
      </c>
      <c r="C68" s="372" t="s">
        <v>28</v>
      </c>
      <c r="D68" s="192" t="e">
        <f>Results!G8</f>
        <v>#DIV/0!</v>
      </c>
      <c r="E68" s="216"/>
      <c r="F68" s="641" t="e">
        <f>'Ex-CFAP'!E26</f>
        <v>#N/A</v>
      </c>
      <c r="G68" s="647" t="e">
        <f>'Ex-CFAP'!G26</f>
        <v>#N/A</v>
      </c>
      <c r="H68" s="3"/>
      <c r="I68" s="3"/>
      <c r="J68" s="3"/>
      <c r="K68" s="3"/>
      <c r="L68" s="3"/>
      <c r="M68" s="3"/>
    </row>
    <row r="69" spans="1:13" ht="14.25">
      <c r="A69" s="218" t="s">
        <v>449</v>
      </c>
      <c r="B69" s="219"/>
      <c r="C69" s="219"/>
      <c r="D69" s="637" t="e">
        <f>Results!G9</f>
        <v>#N/A</v>
      </c>
      <c r="E69" s="645" t="str">
        <f>IF(SUM(Data!G3)&gt;1,Results!G12," ")</f>
        <v xml:space="preserve"> </v>
      </c>
      <c r="F69" s="213" t="str">
        <f>IF(Results!G15&gt;0,"Net FS Allotment:"," ")</f>
        <v xml:space="preserve"> </v>
      </c>
      <c r="G69" s="220" t="s">
        <v>260</v>
      </c>
      <c r="H69" s="3"/>
      <c r="I69" s="3"/>
      <c r="J69" s="3"/>
      <c r="K69" s="3"/>
      <c r="L69" s="3"/>
      <c r="M69" s="3"/>
    </row>
    <row r="70" spans="1:13">
      <c r="A70" s="120"/>
      <c r="B70" s="120"/>
      <c r="C70" s="120"/>
      <c r="D70" s="120"/>
      <c r="E70" s="120"/>
      <c r="F70" s="120"/>
      <c r="G70" s="120"/>
      <c r="H70" s="3"/>
      <c r="I70" s="3"/>
      <c r="J70" s="3"/>
      <c r="K70" s="3"/>
      <c r="L70" s="3"/>
      <c r="M70" s="3"/>
    </row>
    <row r="71" spans="1:13">
      <c r="A71" s="120"/>
      <c r="B71" s="221"/>
      <c r="C71" s="222"/>
      <c r="D71" s="223" t="str">
        <f>IF(ISBLANK(Begin!K10)," ","ERROR AMOUNT CALCULATION              Amount originally issued:")</f>
        <v xml:space="preserve"> </v>
      </c>
      <c r="E71" s="224">
        <f>IF(ISBLANK(Begin!K11)," ",Begin!K11)</f>
        <v>0</v>
      </c>
      <c r="F71" s="628" t="e">
        <f>Data!B28</f>
        <v>#N/A</v>
      </c>
      <c r="G71" s="627" t="e">
        <f>Data!C28</f>
        <v>#N/A</v>
      </c>
      <c r="H71" s="3"/>
      <c r="I71" s="3"/>
      <c r="J71" s="3"/>
      <c r="K71" s="3"/>
      <c r="L71" s="3"/>
      <c r="M71" s="3"/>
    </row>
    <row r="72" spans="1:13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</row>
    <row r="73" spans="1:13" ht="67.900000000000006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</row>
    <row r="74" spans="1:13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</row>
    <row r="75" spans="1:13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</row>
    <row r="76" spans="1:13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</row>
    <row r="77" spans="1:13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</row>
  </sheetData>
  <sheetProtection algorithmName="SHA-512" hashValue="64o2sreGx7iexOaYdrYkw+krvjChGtPYIlv20qzRmdHlyx7wcmNciDjpzs0LFiVVtuk8FwwHNnUrQ3Vg9ExezA==" saltValue="7P9a9ZT8cYHgH9tIy4VSCA==" spinCount="100000" sheet="1" selectLockedCells="1"/>
  <customSheetViews>
    <customSheetView guid="{8B667783-ABB1-44FC-8E84-2FB0B35607A4}" scale="80" showPageBreaks="1" fitToPage="1" printArea="1" topLeftCell="A22">
      <selection activeCell="G18" sqref="G18"/>
      <pageMargins left="0.9" right="0.5" top="0.7" bottom="0.3" header="0" footer="0"/>
      <pageSetup scale="71" orientation="portrait" r:id="rId1"/>
      <headerFooter alignWithMargins="0">
        <oddHeader>&amp;CExcel FS Budget for QA</oddHeader>
        <oddFooter>&amp;CWorksheet: DFA_285B</oddFooter>
      </headerFooter>
    </customSheetView>
    <customSheetView guid="{3CED0DA5-B598-4FE7-9427-9FCE2EEF7FEF}" scale="80" fitToPage="1" topLeftCell="A22">
      <selection activeCell="G18" sqref="G18"/>
      <pageMargins left="0.9" right="0.5" top="0.7" bottom="0.3" header="0" footer="0"/>
      <pageSetup scale="71" orientation="portrait" r:id="rId2"/>
      <headerFooter alignWithMargins="0">
        <oddHeader>&amp;CExcel FS Budget for QA</oddHeader>
        <oddFooter>&amp;CWorksheet: DFA_285B</oddFooter>
      </headerFooter>
    </customSheetView>
  </customSheetViews>
  <phoneticPr fontId="0" type="noConversion"/>
  <dataValidations xWindow="626" yWindow="152" count="1">
    <dataValidation allowBlank="1" showErrorMessage="1" promptTitle="Documentation:" prompt="Enter any notations to be printed on DFA 285B." sqref="F5:F34 G6:G34" xr:uid="{00000000-0002-0000-0300-000000000000}"/>
  </dataValidations>
  <pageMargins left="0.9" right="0.5" top="0.7" bottom="0.3" header="0" footer="0"/>
  <pageSetup scale="71" orientation="portrait" r:id="rId3"/>
  <headerFooter alignWithMargins="0">
    <oddHeader>&amp;CExcel FS Budget for QA</oddHeader>
    <oddFooter>&amp;CWorksheet: DFA_285B</oddFoot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6" name="Button 1">
              <controlPr defaultSize="0" autoFill="0" autoLine="0" autoPict="0" macro="[0]!DFA285b_2">
                <anchor moveWithCells="1" sizeWithCells="1">
                  <from>
                    <xdr:col>8</xdr:col>
                    <xdr:colOff>238125</xdr:colOff>
                    <xdr:row>1</xdr:row>
                    <xdr:rowOff>47625</xdr:rowOff>
                  </from>
                  <to>
                    <xdr:col>8</xdr:col>
                    <xdr:colOff>1343025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70C0"/>
  </sheetPr>
  <dimension ref="A1:Y34"/>
  <sheetViews>
    <sheetView zoomScale="130" zoomScaleNormal="130" workbookViewId="0">
      <selection activeCell="C7" sqref="C7"/>
    </sheetView>
  </sheetViews>
  <sheetFormatPr defaultColWidth="9.140625" defaultRowHeight="12.75"/>
  <cols>
    <col min="1" max="1" width="1.42578125" style="24" customWidth="1"/>
    <col min="2" max="2" width="42.7109375" style="24" customWidth="1"/>
    <col min="3" max="7" width="13" style="24" customWidth="1"/>
    <col min="8" max="8" width="13.85546875" style="24" customWidth="1"/>
    <col min="9" max="9" width="19.140625" style="24" customWidth="1"/>
    <col min="10" max="10" width="9.140625" style="24" customWidth="1"/>
    <col min="11" max="11" width="1.28515625" style="24" customWidth="1"/>
    <col min="12" max="16384" width="9.140625" style="24"/>
  </cols>
  <sheetData>
    <row r="1" spans="1:25" ht="14.25" thickTop="1" thickBot="1">
      <c r="A1" s="30"/>
      <c r="B1" s="36" t="s">
        <v>139</v>
      </c>
      <c r="C1" s="44" t="s">
        <v>155</v>
      </c>
      <c r="D1" s="45"/>
      <c r="E1" s="60"/>
      <c r="F1" s="31" t="s">
        <v>135</v>
      </c>
      <c r="G1" s="32"/>
      <c r="H1" s="30"/>
      <c r="I1" s="30"/>
      <c r="J1" s="30"/>
      <c r="K1" s="330">
        <v>0</v>
      </c>
      <c r="X1" s="414">
        <v>99</v>
      </c>
      <c r="Y1" s="414">
        <v>99</v>
      </c>
    </row>
    <row r="2" spans="1:25" ht="13.5" thickBot="1">
      <c r="A2" s="30"/>
      <c r="B2" s="37" t="s">
        <v>140</v>
      </c>
      <c r="C2" s="42" t="s">
        <v>156</v>
      </c>
      <c r="D2" s="43" t="s">
        <v>167</v>
      </c>
      <c r="E2" s="422" t="s">
        <v>322</v>
      </c>
      <c r="F2" s="33" t="s">
        <v>133</v>
      </c>
      <c r="G2" s="242" t="s">
        <v>134</v>
      </c>
      <c r="H2" s="30"/>
      <c r="I2" s="30"/>
      <c r="J2" s="30"/>
      <c r="K2" s="331" t="e">
        <f>C25</f>
        <v>#DIV/0!</v>
      </c>
    </row>
    <row r="3" spans="1:25" ht="13.5" thickBot="1">
      <c r="A3" s="30"/>
      <c r="B3" s="41" t="s">
        <v>122</v>
      </c>
      <c r="C3" s="374"/>
      <c r="D3" s="242"/>
      <c r="E3" s="425"/>
      <c r="F3" s="106" t="str">
        <f>IF(AND(Data!C3&gt;0,E3&gt;0),Data!C3," ")</f>
        <v xml:space="preserve"> </v>
      </c>
      <c r="G3" s="107" t="str">
        <f>IF(Data!C3&gt;0,IF(Data!C3&lt;E3,"Error: Persons",Data!C3-SUM(E3))," ")</f>
        <v xml:space="preserve"> </v>
      </c>
      <c r="H3" s="34"/>
      <c r="I3" s="84"/>
      <c r="J3" s="84"/>
    </row>
    <row r="4" spans="1:25" ht="14.25" thickTop="1" thickBot="1">
      <c r="A4" s="30"/>
      <c r="B4" s="59" t="s">
        <v>168</v>
      </c>
      <c r="C4" s="71"/>
      <c r="D4" s="72"/>
      <c r="E4" s="73"/>
      <c r="F4" s="108"/>
      <c r="G4" s="109"/>
      <c r="H4" s="34"/>
      <c r="I4" s="84"/>
      <c r="J4" s="84"/>
      <c r="K4" s="361" t="e">
        <f>E6+E7+E9+E10</f>
        <v>#VALUE!</v>
      </c>
      <c r="W4" s="411">
        <f>C7+C10</f>
        <v>0</v>
      </c>
    </row>
    <row r="5" spans="1:25" ht="13.5" thickBot="1">
      <c r="A5" s="30"/>
      <c r="B5" s="416" t="s">
        <v>321</v>
      </c>
      <c r="C5" s="46"/>
      <c r="D5" s="47"/>
      <c r="E5" s="419">
        <f>G5</f>
        <v>0</v>
      </c>
      <c r="F5" s="420" t="s">
        <v>323</v>
      </c>
      <c r="G5" s="374"/>
      <c r="H5" s="34"/>
      <c r="I5" s="84"/>
      <c r="J5" s="84"/>
    </row>
    <row r="6" spans="1:25" ht="14.25" thickTop="1" thickBot="1">
      <c r="A6" s="30"/>
      <c r="B6" s="27" t="s">
        <v>130</v>
      </c>
      <c r="C6" s="89"/>
      <c r="D6" s="90"/>
      <c r="E6" s="244"/>
      <c r="F6" s="332" t="str">
        <f>IF(AND(Data!C3&gt;0,E3&gt;0),SUM(Data!I7:I9)-SUM(F7)," ")</f>
        <v xml:space="preserve"> </v>
      </c>
      <c r="G6" s="110" t="str">
        <f>IF(SUM(G3)&gt;0,IF(SUM(Data!I7:I9)-Data!H7-E6&lt;0,"Error: Earned",SUM(Data!I7:I9)-Data!H7-E6)," ")</f>
        <v xml:space="preserve"> </v>
      </c>
      <c r="H6" s="34"/>
      <c r="I6" s="84"/>
      <c r="J6" s="84"/>
    </row>
    <row r="7" spans="1:25" ht="15" thickBot="1">
      <c r="A7" s="30"/>
      <c r="B7" s="25" t="s">
        <v>127</v>
      </c>
      <c r="C7" s="373"/>
      <c r="D7" s="244"/>
      <c r="E7" s="329" t="e">
        <f>C7/(F3+C3)*E3+(D7/F3*E3)</f>
        <v>#VALUE!</v>
      </c>
      <c r="F7" s="111" t="str">
        <f>IF(AND(Data!C3&gt;0,E3&gt;0),SUM(D7)+SUM(C7)*Data!C3/(Data!C3+SUM(C3))," ")</f>
        <v xml:space="preserve"> </v>
      </c>
      <c r="G7" s="112" t="str">
        <f>IF(SUM(G3)&gt;0,SUM(D7)*G3/Data!C3+SUM(C7)*G3/(Data!C3+SUM(C3))," ")</f>
        <v xml:space="preserve"> </v>
      </c>
      <c r="H7" s="34"/>
      <c r="I7" s="84"/>
      <c r="J7" s="84"/>
    </row>
    <row r="8" spans="1:25" ht="13.5" thickBot="1">
      <c r="A8" s="30"/>
      <c r="B8" s="35" t="s">
        <v>128</v>
      </c>
      <c r="C8" s="91"/>
      <c r="D8" s="92"/>
      <c r="E8" s="93"/>
      <c r="F8" s="111" t="str">
        <f>IF(AND(Data!C3&gt;0,E3&gt;0),SUM(F6:F7)*0.8," ")</f>
        <v xml:space="preserve"> </v>
      </c>
      <c r="G8" s="111" t="str">
        <f>IF(SUM(G3)&gt;0,SUM(G6:G7)*0.8," ")</f>
        <v xml:space="preserve"> </v>
      </c>
      <c r="H8" s="34"/>
      <c r="I8" s="84"/>
      <c r="J8" s="84"/>
    </row>
    <row r="9" spans="1:25" ht="13.5" thickBot="1">
      <c r="A9" s="30"/>
      <c r="B9" s="25" t="s">
        <v>131</v>
      </c>
      <c r="C9" s="94"/>
      <c r="D9" s="95"/>
      <c r="E9" s="243"/>
      <c r="F9" s="333" t="str">
        <f>IF(AND(Data!C3&gt;0,E3&gt;0),SUM(Data!I10:I14)-Data!H14," ")</f>
        <v xml:space="preserve"> </v>
      </c>
      <c r="G9" s="112" t="str">
        <f>IF(SUM(G3)&gt;0,IF(SUM(Data!I10:I14)-Data!H14-SUM(E9)&lt;0,"Error: Unearned",SUM(Data!I10:I14)-Data!H14-SUM(E9))," ")</f>
        <v xml:space="preserve"> </v>
      </c>
      <c r="H9" s="34"/>
      <c r="I9" s="84"/>
      <c r="J9" s="84"/>
    </row>
    <row r="10" spans="1:25" ht="15" thickBot="1">
      <c r="A10" s="30"/>
      <c r="B10" s="25" t="s">
        <v>129</v>
      </c>
      <c r="C10" s="373"/>
      <c r="D10" s="244"/>
      <c r="E10" s="329" t="e">
        <f>C10/(F3+C3)*E3+(D10/F3*E3)</f>
        <v>#VALUE!</v>
      </c>
      <c r="F10" s="111" t="str">
        <f>IF(AND(E3&gt;0,Data!C3&gt;0),SUM(D10)+SUM(C10)*Data!C3/(Data!C3+SUM(C3))," ")</f>
        <v xml:space="preserve"> </v>
      </c>
      <c r="G10" s="112" t="str">
        <f>IF(SUM(G3)&gt;0,G3*SUM(D10)/Data!C3+SUM(C10)*G3/(SUM(C3)+Data!C3)," ")</f>
        <v xml:space="preserve"> </v>
      </c>
      <c r="H10" s="30"/>
      <c r="I10" s="30"/>
      <c r="J10" s="30"/>
    </row>
    <row r="11" spans="1:25" ht="13.5" thickBot="1">
      <c r="A11" s="30"/>
      <c r="B11" s="35" t="s">
        <v>24</v>
      </c>
      <c r="C11" s="89"/>
      <c r="D11" s="96"/>
      <c r="E11" s="93"/>
      <c r="F11" s="111" t="str">
        <f>IF(AND(Data!C3&gt;0,E3&gt;0),Results!D7," ")</f>
        <v xml:space="preserve"> </v>
      </c>
      <c r="G11" s="112" t="str">
        <f>IF(SUM(G3)&gt;0,HLOOKUP(Data!C2,B_Cons,J11)," ")</f>
        <v xml:space="preserve"> </v>
      </c>
      <c r="H11" s="323"/>
      <c r="I11" s="324" t="s">
        <v>221</v>
      </c>
      <c r="J11" s="323">
        <f>IF(ISNUMBER(G3),IF(AND(G3,G3&lt;5),IF(G3=4,3,2),IF(G3=5,4,5)),0)</f>
        <v>0</v>
      </c>
    </row>
    <row r="12" spans="1:25" ht="13.5" thickBot="1">
      <c r="A12" s="30"/>
      <c r="B12" s="322" t="s">
        <v>317</v>
      </c>
      <c r="C12" s="97"/>
      <c r="D12" s="97"/>
      <c r="E12" s="245"/>
      <c r="F12" s="421" t="str">
        <f>IF(E3&gt;0,Results!D10," ")</f>
        <v xml:space="preserve"> </v>
      </c>
      <c r="G12" s="433" t="e">
        <f>F12-E12</f>
        <v>#VALUE!</v>
      </c>
      <c r="H12" s="30"/>
      <c r="I12" s="30"/>
      <c r="J12" s="30"/>
    </row>
    <row r="13" spans="1:25" ht="13.5" thickBot="1">
      <c r="A13" s="30"/>
      <c r="B13" s="35" t="s">
        <v>153</v>
      </c>
      <c r="C13" s="98"/>
      <c r="D13" s="96"/>
      <c r="E13" s="243"/>
      <c r="F13" s="333" t="str">
        <f>IF(AND(Data!C3&gt;0,E3&gt;0),SUM(Data!I16:I17)+SUM(Data!I19)," ")</f>
        <v xml:space="preserve"> </v>
      </c>
      <c r="G13" s="112" t="str">
        <f>IF(SUM(G3)&gt;0,IF(SUM(Data!I16:I17)+SUM(Data!I19)-SUM(E13)&lt;0,"Error: Deductions",SUM(Data!I16:I17)+SUM(Data!I19)-SUM(E13))," ")</f>
        <v xml:space="preserve"> </v>
      </c>
      <c r="H13" s="30"/>
      <c r="I13" s="30"/>
      <c r="J13" s="30"/>
    </row>
    <row r="14" spans="1:25">
      <c r="A14" s="30"/>
      <c r="B14" s="25" t="s">
        <v>124</v>
      </c>
      <c r="C14" s="99"/>
      <c r="D14" s="100"/>
      <c r="E14" s="101"/>
      <c r="F14" s="112" t="str">
        <f>IF(AND(Data!C3&gt;0,E3&gt;0),IF(SUM(F8:F10)-SUM(F11:F13)&lt;0,0,SUM(F8:F10)-SUM(F11:F13))," ")</f>
        <v xml:space="preserve"> </v>
      </c>
      <c r="G14" s="424" t="str">
        <f>IF(SUM(G3)&gt;0,IF(SUM(G8:G10)-SUM(G11:G13)&gt;0,SUM(G8:G10)-SUM(G11:G13),0)," ")</f>
        <v xml:space="preserve"> </v>
      </c>
      <c r="H14" s="30"/>
      <c r="I14" s="334" t="s">
        <v>260</v>
      </c>
      <c r="J14" s="30"/>
    </row>
    <row r="15" spans="1:25">
      <c r="A15" s="30"/>
      <c r="B15" s="322" t="s">
        <v>342</v>
      </c>
      <c r="C15" s="25"/>
      <c r="D15" s="25"/>
      <c r="E15" s="362"/>
      <c r="F15" s="111" t="str">
        <f>IF(AND(Data!C3&gt;0,E3&gt;0),Results!D16," ")</f>
        <v xml:space="preserve"> </v>
      </c>
      <c r="G15" s="112" t="str">
        <f>IF(SUM(G3)&gt;0,IF(Data!C20&gt;0,"N/A",IF(TYPE(E15)=2,SUM(Results!D16)*G3/Data!C3,IF(F15-E15&lt;0,"Error",F15-E15)))," ")</f>
        <v xml:space="preserve"> </v>
      </c>
      <c r="H15" s="30"/>
      <c r="I15" s="30"/>
      <c r="J15" s="30"/>
    </row>
    <row r="16" spans="1:25" ht="13.5" thickBot="1">
      <c r="A16" s="30"/>
      <c r="B16" s="25" t="s">
        <v>125</v>
      </c>
      <c r="C16" s="99"/>
      <c r="D16" s="102"/>
      <c r="E16" s="93"/>
      <c r="F16" s="111" t="str">
        <f>IF(AND(Data!C3&gt;0,E3&gt;0),Results!D17," ")</f>
        <v xml:space="preserve"> </v>
      </c>
      <c r="G16" s="112" t="str">
        <f>IF(SUM(G3)&gt;0,IF(Data!C20&gt;0,"N/A",0.5*G14)," ")</f>
        <v xml:space="preserve"> </v>
      </c>
      <c r="H16" s="30"/>
      <c r="I16" s="30"/>
      <c r="J16" s="30"/>
    </row>
    <row r="17" spans="1:10" ht="16.5" thickBot="1">
      <c r="A17" s="30"/>
      <c r="B17" s="25" t="str">
        <f>"Excess Shelter"&amp;IF(OR(SUM(E5)&gt;0,NOT(Data!C3&gt;0))," "," (Maximum "&amp;DOLLAR(C31,0)&amp;IF(Data!C5&gt;0," for Fed. HH)",")"))</f>
        <v xml:space="preserve">Excess Shelter </v>
      </c>
      <c r="C17" s="686" t="e">
        <f>IF(OR(E15=0,E15=C25),"  ","Update Rent for CFAP Please.")</f>
        <v>#DIV/0!</v>
      </c>
      <c r="D17" s="687"/>
      <c r="E17" s="687"/>
      <c r="F17" s="112" t="str">
        <f>IF(AND(Data!C3&gt;0,E3&gt;0),Results!D20," ")</f>
        <v xml:space="preserve"> </v>
      </c>
      <c r="G17" s="424" t="str">
        <f>IF(SUM(G3)&gt;0,IF(Data!C20&gt;0,"N/A",IF(G15-G16&lt;0,0,IF(AND(SUM(E5)=0,G15-G16&gt;C31),C31,G15-G16)))," ")</f>
        <v xml:space="preserve"> </v>
      </c>
      <c r="H17" s="30"/>
      <c r="I17" s="30"/>
      <c r="J17" s="30"/>
    </row>
    <row r="18" spans="1:10" ht="13.5" thickBot="1">
      <c r="A18" s="30"/>
      <c r="B18" s="25" t="s">
        <v>126</v>
      </c>
      <c r="C18" s="696" t="e">
        <f>IF(AND(E15=0)*K4&gt;0,"REMINDER: SEE ITEM # 1 BELOW"," ")</f>
        <v>#VALUE!</v>
      </c>
      <c r="D18" s="697"/>
      <c r="E18" s="698"/>
      <c r="F18" s="111" t="str">
        <f>IF(AND(Data!C3&gt;0,E3&gt;0),Results!G2," ")</f>
        <v xml:space="preserve"> </v>
      </c>
      <c r="G18" s="625" t="str">
        <f>IF(SUM(G3)&gt;0,IF(G14-SUM(G17)&lt;0,0,ROUND(G14-SUM(G17),0))," ")</f>
        <v xml:space="preserve"> </v>
      </c>
      <c r="H18" s="30"/>
      <c r="I18" s="30"/>
      <c r="J18" s="30"/>
    </row>
    <row r="19" spans="1:10" ht="13.5" thickBot="1">
      <c r="A19" s="30"/>
      <c r="B19" s="25" t="str">
        <f>"FS Allotment"&amp;IF(Data!G3&gt;0," (Prorated)"," ")</f>
        <v xml:space="preserve">FS Allotment </v>
      </c>
      <c r="C19" s="103"/>
      <c r="D19" s="104"/>
      <c r="E19" s="105"/>
      <c r="F19" s="111" t="e">
        <f>Results!G20</f>
        <v>#N/A</v>
      </c>
      <c r="G19" s="111" t="str">
        <f>IF(SUM(G3)&gt;0,IF(Data!G3&gt;0,Results!J19,Results!J16)," ")</f>
        <v xml:space="preserve"> </v>
      </c>
      <c r="H19" s="30"/>
      <c r="I19" s="30"/>
      <c r="J19" s="30"/>
    </row>
    <row r="20" spans="1:10" ht="14.25" thickTop="1" thickBot="1">
      <c r="A20" s="30"/>
      <c r="B20" s="231" t="s">
        <v>132</v>
      </c>
      <c r="C20" s="699" t="s">
        <v>320</v>
      </c>
      <c r="D20" s="700"/>
      <c r="E20" s="701"/>
      <c r="F20" s="417" t="e">
        <f>F19-G20</f>
        <v>#N/A</v>
      </c>
      <c r="G20" s="455" t="e">
        <f>IF(OR(G19="N/A",G19&lt;1),X1-Y1,MIN(F19,G19))</f>
        <v>#N/A</v>
      </c>
      <c r="H20" s="334"/>
      <c r="I20" s="30"/>
      <c r="J20" s="30"/>
    </row>
    <row r="21" spans="1:10">
      <c r="A21" s="30"/>
      <c r="B21" s="347" t="s">
        <v>231</v>
      </c>
      <c r="C21" s="38"/>
      <c r="D21" s="38"/>
      <c r="E21" s="38"/>
      <c r="F21" s="38"/>
      <c r="G21" s="38"/>
      <c r="H21" s="30"/>
      <c r="I21" s="30"/>
      <c r="J21" s="30"/>
    </row>
    <row r="22" spans="1:10">
      <c r="A22" s="30"/>
      <c r="B22" s="347" t="s">
        <v>385</v>
      </c>
      <c r="C22" s="38"/>
      <c r="D22" s="38"/>
      <c r="E22" s="38"/>
      <c r="F22" s="38"/>
      <c r="G22" s="38"/>
      <c r="H22" s="30"/>
      <c r="I22" s="30"/>
      <c r="J22" s="30"/>
    </row>
    <row r="23" spans="1:10">
      <c r="A23" s="30"/>
      <c r="B23" s="335" t="s">
        <v>266</v>
      </c>
      <c r="C23" s="226"/>
      <c r="D23" s="226"/>
      <c r="E23" s="226"/>
      <c r="F23" s="226"/>
      <c r="G23" s="226"/>
      <c r="H23" s="30"/>
      <c r="I23" s="30"/>
      <c r="J23" s="30"/>
    </row>
    <row r="24" spans="1:10" ht="13.5" thickBot="1">
      <c r="A24" s="30"/>
      <c r="B24" s="335" t="s">
        <v>265</v>
      </c>
      <c r="C24" s="226"/>
      <c r="D24" s="226"/>
      <c r="E24" s="688"/>
      <c r="F24" s="689"/>
      <c r="G24" s="689"/>
      <c r="H24" s="30"/>
      <c r="I24" s="30"/>
      <c r="J24" s="30"/>
    </row>
    <row r="25" spans="1:10" ht="13.5" thickBot="1">
      <c r="A25" s="30"/>
      <c r="B25" s="328" t="s">
        <v>267</v>
      </c>
      <c r="C25" s="345" t="e">
        <f>Data!C21/(Data!C3+Data!I4)*'Ex-CFAP'!E3</f>
        <v>#DIV/0!</v>
      </c>
      <c r="D25" s="226"/>
      <c r="E25" s="692" t="s">
        <v>319</v>
      </c>
      <c r="F25" s="693"/>
      <c r="G25" s="346"/>
      <c r="H25" s="30"/>
      <c r="I25" s="30"/>
      <c r="J25" s="30"/>
    </row>
    <row r="26" spans="1:10" ht="13.5" thickBot="1">
      <c r="A26" s="30"/>
      <c r="B26" s="328" t="s">
        <v>268</v>
      </c>
      <c r="C26" s="226"/>
      <c r="D26" s="226"/>
      <c r="E26" s="690" t="e">
        <f>IF(G25=G20,"Correct Case",IF(G25&gt;G20,"Over Issuance","Under Issuance"))</f>
        <v>#N/A</v>
      </c>
      <c r="F26" s="691"/>
      <c r="G26" s="336" t="e">
        <f>IF(G25&gt;G20,G25-G20,G20-G25)</f>
        <v>#N/A</v>
      </c>
      <c r="H26" s="30"/>
      <c r="I26" s="30"/>
      <c r="J26" s="30"/>
    </row>
    <row r="27" spans="1:10" ht="19.5" customHeight="1" thickBot="1">
      <c r="C27" s="337"/>
      <c r="D27" s="337"/>
      <c r="E27" s="338"/>
      <c r="F27" s="694" t="e">
        <f>IF(AND(G26&gt;0,G26&lt;55),"Under Tolerance, OK"," ")</f>
        <v>#N/A</v>
      </c>
      <c r="G27" s="695"/>
    </row>
    <row r="28" spans="1:10">
      <c r="B28" s="342" t="s">
        <v>145</v>
      </c>
      <c r="C28" s="343">
        <f>Data!C5</f>
        <v>0</v>
      </c>
      <c r="D28" s="339"/>
      <c r="E28" s="337"/>
    </row>
    <row r="29" spans="1:10">
      <c r="B29" s="342" t="s">
        <v>143</v>
      </c>
      <c r="C29" s="343">
        <f>Data!C4</f>
        <v>0</v>
      </c>
      <c r="D29" s="339"/>
      <c r="E29" s="337"/>
    </row>
    <row r="30" spans="1:10">
      <c r="B30" s="342" t="s">
        <v>144</v>
      </c>
      <c r="C30" s="342">
        <f>IF(OR(Data!C4=1,AND(Data!C4=3,'Ex-CFAP'!E4=1)),1,2)</f>
        <v>2</v>
      </c>
      <c r="D30" s="337"/>
      <c r="E30" s="337"/>
    </row>
    <row r="31" spans="1:10">
      <c r="B31" s="342" t="s">
        <v>146</v>
      </c>
      <c r="C31" s="344">
        <f>Data!H20</f>
        <v>0</v>
      </c>
      <c r="D31" s="340"/>
      <c r="E31" s="337"/>
    </row>
    <row r="32" spans="1:10">
      <c r="B32" s="341"/>
      <c r="C32" s="341"/>
      <c r="D32" s="337"/>
      <c r="E32" s="337"/>
    </row>
    <row r="33" spans="2:5">
      <c r="B33" s="337"/>
      <c r="C33" s="337"/>
      <c r="D33" s="337"/>
      <c r="E33" s="337"/>
    </row>
    <row r="34" spans="2:5">
      <c r="B34" s="337"/>
      <c r="C34" s="337"/>
      <c r="D34" s="337"/>
      <c r="E34" s="337"/>
    </row>
  </sheetData>
  <sheetProtection algorithmName="SHA-512" hashValue="L6QVhiqiDusm1W6R+DMyw/r4Nl7OlAC8ysPsjjhuFBRpAlT7eB5AkAGYUqepNHq2C2WOh/imncgQQi2eeo+kfg==" saltValue="OpohUBZ1wpFL+P7O5Pm68w==" spinCount="100000" sheet="1" selectLockedCells="1"/>
  <customSheetViews>
    <customSheetView guid="{8B667783-ABB1-44FC-8E84-2FB0B35607A4}" showPageBreaks="1" printArea="1">
      <selection activeCell="G18" sqref="G18"/>
      <pageMargins left="0.75" right="0.75" top="1" bottom="1" header="0.5" footer="0.5"/>
      <printOptions horizontalCentered="1" verticalCentered="1" headings="1"/>
      <pageSetup orientation="landscape" horizontalDpi="1200" verticalDpi="1200" r:id="rId1"/>
      <headerFooter alignWithMargins="0">
        <oddHeader>&amp;CExcel FS Budget for QA</oddHeader>
        <oddFooter>&amp;CWorksheet: Ex_CFAP</oddFooter>
      </headerFooter>
    </customSheetView>
    <customSheetView guid="{3CED0DA5-B598-4FE7-9427-9FCE2EEF7FEF}">
      <selection activeCell="G18" sqref="G18"/>
      <pageMargins left="0.75" right="0.75" top="1" bottom="1" header="0.5" footer="0.5"/>
      <printOptions horizontalCentered="1" verticalCentered="1" headings="1"/>
      <pageSetup orientation="landscape" horizontalDpi="1200" verticalDpi="1200" r:id="rId2"/>
      <headerFooter alignWithMargins="0">
        <oddHeader>&amp;CExcel FS Budget for QA</oddHeader>
        <oddFooter>&amp;CWorksheet: Ex_CFAP</oddFooter>
      </headerFooter>
    </customSheetView>
  </customSheetViews>
  <mergeCells count="7">
    <mergeCell ref="C17:E17"/>
    <mergeCell ref="E24:G24"/>
    <mergeCell ref="E26:F26"/>
    <mergeCell ref="E25:F25"/>
    <mergeCell ref="F27:G27"/>
    <mergeCell ref="C18:E18"/>
    <mergeCell ref="C20:E20"/>
  </mergeCells>
  <phoneticPr fontId="0" type="noConversion"/>
  <conditionalFormatting sqref="B5">
    <cfRule type="expression" dxfId="32" priority="1" stopIfTrue="1">
      <formula>$C$28&lt;&gt;1</formula>
    </cfRule>
  </conditionalFormatting>
  <conditionalFormatting sqref="B4">
    <cfRule type="expression" dxfId="31" priority="2" stopIfTrue="1">
      <formula>$C$29&lt;&gt;3</formula>
    </cfRule>
  </conditionalFormatting>
  <conditionalFormatting sqref="B12:D12">
    <cfRule type="expression" dxfId="30" priority="3" stopIfTrue="1">
      <formula>$C$28&lt;&gt;1</formula>
    </cfRule>
  </conditionalFormatting>
  <conditionalFormatting sqref="E4">
    <cfRule type="expression" dxfId="29" priority="4" stopIfTrue="1">
      <formula>$C$29=3</formula>
    </cfRule>
  </conditionalFormatting>
  <conditionalFormatting sqref="E12">
    <cfRule type="expression" dxfId="28" priority="6" stopIfTrue="1">
      <formula>$C$28&lt;&gt;1</formula>
    </cfRule>
  </conditionalFormatting>
  <dataValidations xWindow="569" yWindow="808" count="14">
    <dataValidation type="whole" operator="greaterThan" allowBlank="1" showErrorMessage="1" errorTitle="CFAP Persons Count:" error="Do not enter &quot;0&quot;.  Leave blank instead." promptTitle="CFAP Persons Count:" prompt="Enter the number of CFAP persons." sqref="E3" xr:uid="{00000000-0002-0000-0400-000000000000}">
      <formula1>0</formula1>
    </dataValidation>
    <dataValidation type="whole" operator="greaterThan" allowBlank="1" showErrorMessage="1" errorTitle="Excluded SSN/Alien:" error="Do not enter &quot;0&quot;.  Leave blank instead." promptTitle="Excluded SSN/Alien:" prompt="Enter number of persons excluded for SSN or alien status. Don't forget shelter proration on Data tab." sqref="C3" xr:uid="{00000000-0002-0000-0400-000001000000}">
      <formula1>0</formula1>
    </dataValidation>
    <dataValidation type="whole" operator="greaterThan" allowBlank="1" showInputMessage="1" showErrorMessage="1" errorTitle="Others Excluded" error="Do not enter &quot;0&quot;.  Leave blank instead." promptTitle="Others Excluded" prompt="Enter number of persons excluded for IPV, Workfare, and Work Requirement Sanctions.  _x000a_DO NOT enter persons excluded as SSI/SSP, Ineligible Students, or roomer/boarders." sqref="D3" xr:uid="{00000000-0002-0000-0400-000002000000}">
      <formula1>0</formula1>
    </dataValidation>
    <dataValidation type="whole" operator="equal" allowBlank="1" showInputMessage="1" showErrorMessage="1" errorTitle="Is Federal HH PA?" error="Enter &quot;1&quot; if Federal HH is PA. Otherwise leave blank." sqref="E4" xr:uid="{00000000-0002-0000-0400-000003000000}">
      <formula1>1</formula1>
    </dataValidation>
    <dataValidation type="whole" operator="equal" allowBlank="1" showInputMessage="1" showErrorMessage="1" errorTitle="Aged/Disabled Federal Persons:" error="Enter &quot;1&quot; or leave blank." promptTitle="Aged/Disabled Federal Persons:" prompt="Enter &quot;1&quot; if Federal HH includes an aged or disabled person." sqref="E5" xr:uid="{00000000-0002-0000-0400-000004000000}">
      <formula1>1</formula1>
    </dataValidation>
    <dataValidation type="decimal" operator="greaterThan" allowBlank="1" showErrorMessage="1" errorTitle="CFAP Persons Earned Income:" error="Do not enter &quot;0&quot;.  Leave blank instead." promptTitle="CFAP Persons Earned Income:" prompt="Enter total earned income of CFAP persons." sqref="E6" xr:uid="{00000000-0002-0000-0400-000005000000}">
      <formula1>0</formula1>
    </dataValidation>
    <dataValidation type="decimal" operator="greaterThan" allowBlank="1" showInputMessage="1" showErrorMessage="1" sqref="E9" xr:uid="{00000000-0002-0000-0400-000006000000}">
      <formula1>0</formula1>
    </dataValidation>
    <dataValidation type="decimal" operator="greaterThan" allowBlank="1" showInputMessage="1" showErrorMessage="1" errorTitle="CFAP Medical Expenses:" error="Do not enter &quot;0&quot;.  Leave blank instead." sqref="E12" xr:uid="{00000000-0002-0000-0400-000007000000}">
      <formula1>0</formula1>
    </dataValidation>
    <dataValidation type="decimal" operator="greaterThan" allowBlank="1" showErrorMessage="1" errorTitle="CFAP Other Deductions:" error="Do not enter &quot;0&quot;.  Leave blank instead." promptTitle="CFAP Other Deductions:" prompt="Enter any other countable deductions of CFAP persons." sqref="E13" xr:uid="{00000000-0002-0000-0400-000008000000}">
      <formula1>0</formula1>
    </dataValidation>
    <dataValidation type="list" showErrorMessage="1" errorTitle="CFAP Shelter Expense:" promptTitle="CFAP Shelter Expense:" prompt="If CFAP has no income, enter zero. Otherwise, enter the amount on line 25." sqref="E15" xr:uid="{00000000-0002-0000-0400-000009000000}">
      <formula1>$K$1:$K$2</formula1>
    </dataValidation>
    <dataValidation type="decimal" operator="greaterThan" allowBlank="1" showErrorMessage="1" errorTitle="SSN/Alien Earnings:" error="Do not enter &quot;0&quot;.  Leave blank instead." promptTitle="SSN/Alien Earnings:" prompt="Enter total earned income of SSN/Alien excluded persons." sqref="C7" xr:uid="{00000000-0002-0000-0400-00000A000000}">
      <formula1>0</formula1>
    </dataValidation>
    <dataValidation type="decimal" operator="greaterThan" allowBlank="1" showInputMessage="1" showErrorMessage="1" promptTitle="Earnings of Other Excluded Pers." prompt="Enter the total earnings of IPV, Workfare, and Work Requirement Sanctioned persons.  DO NOT enter earnings of persons excluded as SSI/SSP, sneligible students, or roomer boarders." sqref="D7" xr:uid="{00000000-0002-0000-0400-00000B000000}">
      <formula1>0</formula1>
    </dataValidation>
    <dataValidation type="decimal" operator="greaterThan" allowBlank="1" showErrorMessage="1" errorTitle="SSN/Alien Unearned Income:" error="Do not enter &quot;0&quot;.  Leave blank instead." promptTitle="SSN/Alien Unearned Income:" prompt="Enter the total amount of earned income of persons excluded because of SSI/SSP or alien status." sqref="C10" xr:uid="{00000000-0002-0000-0400-00000C000000}">
      <formula1>0</formula1>
    </dataValidation>
    <dataValidation type="decimal" operator="greaterThan" allowBlank="1" showInputMessage="1" showErrorMessage="1" errorTitle="Unearned Income of Other Excl:" error="Do not enter &quot;0&quot;.  Leave blank instead." promptTitle="Unearned Income of Other Excl:" prompt="Enter the total unearned income of persons excluded for IPV, Workfare or work requirement sanctions" sqref="D10" xr:uid="{00000000-0002-0000-0400-00000D000000}">
      <formula1>0</formula1>
    </dataValidation>
  </dataValidations>
  <printOptions horizontalCentered="1" verticalCentered="1" headings="1"/>
  <pageMargins left="0.75" right="0.75" top="1" bottom="1" header="0.5" footer="0.5"/>
  <pageSetup orientation="landscape" r:id="rId3"/>
  <headerFooter alignWithMargins="0">
    <oddHeader>&amp;CExcel FS Budget for QA</oddHeader>
    <oddFooter>&amp;CWorksheet: Ex_CFAP</oddFooter>
  </headerFooter>
  <legacy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92D050"/>
  </sheetPr>
  <dimension ref="A1:G13"/>
  <sheetViews>
    <sheetView zoomScale="120" zoomScaleNormal="120" workbookViewId="0">
      <selection activeCell="L20" sqref="L20"/>
    </sheetView>
  </sheetViews>
  <sheetFormatPr defaultRowHeight="12.75"/>
  <cols>
    <col min="1" max="1" width="4.42578125" customWidth="1"/>
    <col min="2" max="2" width="18.5703125" customWidth="1"/>
    <col min="3" max="3" width="11.5703125" customWidth="1"/>
    <col min="5" max="5" width="11.5703125" customWidth="1"/>
    <col min="6" max="6" width="14.140625" customWidth="1"/>
  </cols>
  <sheetData>
    <row r="1" spans="1:7">
      <c r="A1" s="356"/>
      <c r="B1" s="356"/>
      <c r="C1" s="356"/>
      <c r="D1" s="356"/>
      <c r="E1" s="356"/>
      <c r="F1" s="356"/>
      <c r="G1" s="356"/>
    </row>
    <row r="2" spans="1:7" ht="13.5" thickBot="1">
      <c r="A2" s="354"/>
      <c r="B2" s="356"/>
      <c r="C2" s="356"/>
      <c r="D2" s="356"/>
      <c r="E2" s="356"/>
      <c r="F2" s="356"/>
      <c r="G2" s="356"/>
    </row>
    <row r="3" spans="1:7">
      <c r="A3" s="354"/>
      <c r="B3" s="702" t="s">
        <v>280</v>
      </c>
      <c r="C3" s="703"/>
      <c r="D3" s="703"/>
      <c r="E3" s="703"/>
      <c r="F3" s="704"/>
      <c r="G3" s="356"/>
    </row>
    <row r="4" spans="1:7" ht="13.5" thickBot="1">
      <c r="A4" s="354"/>
      <c r="B4" s="705"/>
      <c r="C4" s="706"/>
      <c r="D4" s="706"/>
      <c r="E4" s="706"/>
      <c r="F4" s="707"/>
      <c r="G4" s="356"/>
    </row>
    <row r="5" spans="1:7" ht="13.5" thickBot="1">
      <c r="A5" s="354"/>
      <c r="B5" s="354"/>
      <c r="C5" s="354"/>
      <c r="D5" s="354"/>
      <c r="E5" s="354"/>
      <c r="F5" s="354"/>
      <c r="G5" s="354"/>
    </row>
    <row r="6" spans="1:7">
      <c r="A6" s="354"/>
      <c r="B6" s="349" t="s">
        <v>270</v>
      </c>
      <c r="C6" s="350">
        <f>'Ex-CFAP'!C3</f>
        <v>0</v>
      </c>
      <c r="D6" s="377"/>
      <c r="E6" s="377"/>
      <c r="F6" s="378"/>
      <c r="G6" s="356"/>
    </row>
    <row r="7" spans="1:7">
      <c r="A7" s="354"/>
      <c r="B7" s="351"/>
      <c r="C7" s="379"/>
      <c r="D7" s="380"/>
      <c r="E7" s="380"/>
      <c r="F7" s="381"/>
      <c r="G7" s="356"/>
    </row>
    <row r="8" spans="1:7">
      <c r="A8" s="354"/>
      <c r="B8" s="352" t="s">
        <v>264</v>
      </c>
      <c r="C8" s="348">
        <f>Data!C3</f>
        <v>0</v>
      </c>
      <c r="D8" s="380"/>
      <c r="E8" s="380"/>
      <c r="F8" s="381"/>
      <c r="G8" s="356"/>
    </row>
    <row r="9" spans="1:7">
      <c r="A9" s="354"/>
      <c r="B9" s="351"/>
      <c r="C9" s="135"/>
      <c r="D9" s="382"/>
      <c r="E9" s="383"/>
      <c r="F9" s="381"/>
      <c r="G9" s="356"/>
    </row>
    <row r="10" spans="1:7" ht="13.5" thickBot="1">
      <c r="A10" s="354"/>
      <c r="B10" s="357" t="s">
        <v>279</v>
      </c>
      <c r="C10" s="359"/>
      <c r="D10" s="384"/>
      <c r="E10" s="380"/>
      <c r="F10" s="381"/>
      <c r="G10" s="356"/>
    </row>
    <row r="11" spans="1:7">
      <c r="A11" s="354"/>
      <c r="B11" s="351"/>
      <c r="C11" s="385"/>
      <c r="D11" s="380"/>
      <c r="E11" s="386" t="s">
        <v>277</v>
      </c>
      <c r="F11" s="364" t="e">
        <f>C12+F9</f>
        <v>#DIV/0!</v>
      </c>
      <c r="G11" s="356"/>
    </row>
    <row r="12" spans="1:7" ht="13.5" thickBot="1">
      <c r="A12" s="354"/>
      <c r="B12" s="353" t="s">
        <v>269</v>
      </c>
      <c r="C12" s="358" t="e">
        <f>C10*C8/(C6+C8)</f>
        <v>#DIV/0!</v>
      </c>
      <c r="D12" s="365"/>
      <c r="E12" s="364"/>
      <c r="F12" s="364"/>
      <c r="G12" s="356"/>
    </row>
    <row r="13" spans="1:7">
      <c r="A13" s="354"/>
      <c r="B13" s="355"/>
      <c r="C13" s="356"/>
      <c r="D13" s="356"/>
      <c r="E13" s="356"/>
      <c r="F13" s="356"/>
      <c r="G13" s="356"/>
    </row>
  </sheetData>
  <sheetProtection algorithmName="SHA-512" hashValue="kl/Ms4kU6E2L2pQGAcR9IBlNY1xofiEydEq0fxqX47akRk9WjYc6LKyLbNFmCrwCzeYLrGYS/jyPQTz2AR0EZg==" saltValue="te3Pdg+jGlLRYoVAUEwmhw==" spinCount="100000" sheet="1" objects="1" scenarios="1"/>
  <mergeCells count="1">
    <mergeCell ref="B3:F4"/>
  </mergeCells>
  <printOptions gridLine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J46"/>
  <sheetViews>
    <sheetView workbookViewId="0">
      <selection activeCell="G71" sqref="G71"/>
    </sheetView>
  </sheetViews>
  <sheetFormatPr defaultRowHeight="12.75"/>
  <cols>
    <col min="1" max="1" width="2.42578125" customWidth="1"/>
    <col min="2" max="2" width="33.7109375" customWidth="1"/>
    <col min="3" max="9" width="10" customWidth="1"/>
    <col min="10" max="10" width="37.42578125" customWidth="1"/>
  </cols>
  <sheetData>
    <row r="1" spans="1:10">
      <c r="A1" s="3"/>
      <c r="B1" s="28" t="s">
        <v>230</v>
      </c>
      <c r="C1" s="7"/>
      <c r="D1" s="3"/>
      <c r="E1" s="3"/>
      <c r="F1" s="6"/>
      <c r="G1" s="3"/>
      <c r="H1" s="3"/>
      <c r="I1" s="7"/>
      <c r="J1" s="3"/>
    </row>
    <row r="2" spans="1:10">
      <c r="A2" s="3"/>
      <c r="B2" s="29" t="s">
        <v>121</v>
      </c>
      <c r="C2" s="6"/>
      <c r="D2" s="3"/>
      <c r="E2" s="3"/>
      <c r="F2" s="3"/>
      <c r="G2" s="3"/>
      <c r="H2" s="3"/>
      <c r="I2" s="3"/>
      <c r="J2" s="3"/>
    </row>
    <row r="3" spans="1:10">
      <c r="A3" s="3"/>
      <c r="B3" s="6"/>
      <c r="C3" s="6"/>
      <c r="D3" s="3"/>
      <c r="E3" s="3"/>
      <c r="F3" s="3"/>
      <c r="G3" s="3"/>
      <c r="H3" s="3"/>
      <c r="I3" s="3"/>
      <c r="J3" s="3"/>
    </row>
    <row r="4" spans="1:10">
      <c r="A4" s="3"/>
      <c r="B4" s="21" t="str">
        <f>IF(AND(Data!C1=2,Data!C4&gt;1),"Input Data for Eligibility Determination","Not Needed for Eligibility Determination")</f>
        <v>Not Needed for Eligibility Determination</v>
      </c>
      <c r="C4" s="20"/>
      <c r="D4" s="3"/>
      <c r="E4" s="3"/>
      <c r="F4" s="6"/>
      <c r="G4" s="3"/>
      <c r="H4" s="3"/>
      <c r="I4" s="39"/>
      <c r="J4" s="3"/>
    </row>
    <row r="5" spans="1:10" ht="13.5" thickBot="1">
      <c r="A5" s="3"/>
      <c r="B5" s="22" t="s">
        <v>7</v>
      </c>
      <c r="C5" s="23" t="str">
        <f>IF(Data!C2&gt;0,Data!C2," ")</f>
        <v xml:space="preserve"> </v>
      </c>
      <c r="D5" s="3"/>
      <c r="E5" s="3"/>
      <c r="F5" s="3"/>
      <c r="G5" s="3"/>
      <c r="H5" s="3"/>
      <c r="I5" s="39"/>
      <c r="J5" s="3"/>
    </row>
    <row r="6" spans="1:10" ht="14.25" thickTop="1" thickBot="1">
      <c r="A6" s="3"/>
      <c r="B6" s="3"/>
      <c r="C6" s="4"/>
      <c r="D6" s="4"/>
      <c r="E6" s="3"/>
      <c r="F6" s="66" t="s">
        <v>161</v>
      </c>
      <c r="G6" s="67"/>
      <c r="H6" s="274" t="s">
        <v>163</v>
      </c>
      <c r="I6" s="273" t="s">
        <v>15</v>
      </c>
      <c r="J6" s="3"/>
    </row>
    <row r="7" spans="1:10" ht="13.5" thickBot="1">
      <c r="A7" s="3"/>
      <c r="B7" s="64" t="s">
        <v>103</v>
      </c>
      <c r="C7" s="225"/>
      <c r="D7" s="225"/>
      <c r="E7" s="225"/>
      <c r="F7" s="225"/>
      <c r="G7" s="225"/>
      <c r="H7" s="275"/>
      <c r="I7" s="297">
        <f>SUM(C7:H7)</f>
        <v>0</v>
      </c>
      <c r="J7" s="3"/>
    </row>
    <row r="8" spans="1:10" ht="13.5" thickBot="1">
      <c r="A8" s="3"/>
      <c r="B8" s="63" t="s">
        <v>152</v>
      </c>
      <c r="C8" s="225"/>
      <c r="D8" s="225"/>
      <c r="E8" s="225"/>
      <c r="F8" s="225"/>
      <c r="G8" s="225"/>
      <c r="H8" s="278" t="s">
        <v>123</v>
      </c>
      <c r="I8" s="298">
        <f>IF(SUM(C8:H8)&gt;0,SUM(C8:H8),0)</f>
        <v>0</v>
      </c>
      <c r="J8" s="3"/>
    </row>
    <row r="9" spans="1:10" ht="13.5" thickBot="1">
      <c r="A9" s="3"/>
      <c r="B9" s="49" t="s">
        <v>104</v>
      </c>
      <c r="C9" s="225"/>
      <c r="D9" s="225"/>
      <c r="E9" s="225"/>
      <c r="F9" s="225"/>
      <c r="G9" s="225"/>
      <c r="H9" s="279" t="s">
        <v>105</v>
      </c>
      <c r="I9" s="299">
        <f t="shared" ref="I9:I14" si="0">SUM(C9:H9)</f>
        <v>0</v>
      </c>
      <c r="J9" s="3"/>
    </row>
    <row r="10" spans="1:10" ht="13.5" thickBot="1">
      <c r="A10" s="3"/>
      <c r="B10" s="64" t="s">
        <v>105</v>
      </c>
      <c r="C10" s="225"/>
      <c r="D10" s="225"/>
      <c r="E10" s="225"/>
      <c r="F10" s="225"/>
      <c r="G10" s="225"/>
      <c r="H10" s="276"/>
      <c r="I10" s="298">
        <f t="shared" si="0"/>
        <v>0</v>
      </c>
      <c r="J10" s="3"/>
    </row>
    <row r="11" spans="1:10" ht="13.5" thickBot="1">
      <c r="A11" s="3"/>
      <c r="B11" s="64" t="s">
        <v>106</v>
      </c>
      <c r="C11" s="225"/>
      <c r="D11" s="225"/>
      <c r="E11" s="225"/>
      <c r="F11" s="225"/>
      <c r="G11" s="225"/>
      <c r="H11" s="280"/>
      <c r="I11" s="298">
        <f t="shared" si="0"/>
        <v>0</v>
      </c>
      <c r="J11" s="3"/>
    </row>
    <row r="12" spans="1:10" ht="13.5" thickBot="1">
      <c r="A12" s="3"/>
      <c r="B12" s="65" t="s">
        <v>107</v>
      </c>
      <c r="C12" s="225"/>
      <c r="D12" s="225"/>
      <c r="E12" s="225"/>
      <c r="F12" s="225"/>
      <c r="G12" s="225"/>
      <c r="H12" s="272"/>
      <c r="I12" s="298">
        <f t="shared" si="0"/>
        <v>0</v>
      </c>
      <c r="J12" s="3"/>
    </row>
    <row r="13" spans="1:10" ht="13.5" thickBot="1">
      <c r="A13" s="3"/>
      <c r="B13" s="63" t="s">
        <v>108</v>
      </c>
      <c r="C13" s="225"/>
      <c r="D13" s="225"/>
      <c r="E13" s="225"/>
      <c r="F13" s="225"/>
      <c r="G13" s="225"/>
      <c r="H13" s="279" t="s">
        <v>164</v>
      </c>
      <c r="I13" s="298">
        <f t="shared" si="0"/>
        <v>0</v>
      </c>
      <c r="J13" s="3"/>
    </row>
    <row r="14" spans="1:10" ht="13.5" thickBot="1">
      <c r="A14" s="3"/>
      <c r="B14" s="64" t="s">
        <v>115</v>
      </c>
      <c r="C14" s="225"/>
      <c r="D14" s="225"/>
      <c r="E14" s="225"/>
      <c r="F14" s="225"/>
      <c r="G14" s="225"/>
      <c r="H14" s="275"/>
      <c r="I14" s="298">
        <f t="shared" si="0"/>
        <v>0</v>
      </c>
      <c r="J14" s="3"/>
    </row>
    <row r="15" spans="1:10" ht="13.5" thickBot="1">
      <c r="A15" s="3"/>
      <c r="B15" s="3"/>
      <c r="C15" s="68" t="s">
        <v>178</v>
      </c>
      <c r="D15" s="69"/>
      <c r="E15" s="69"/>
      <c r="F15" s="70"/>
      <c r="G15" s="70"/>
      <c r="H15" s="277"/>
      <c r="I15" s="3"/>
      <c r="J15" s="3"/>
    </row>
    <row r="16" spans="1:10" ht="13.5" thickTop="1">
      <c r="A16" s="3"/>
      <c r="B16" s="3"/>
      <c r="C16" s="11"/>
      <c r="D16" s="3"/>
      <c r="E16" s="3"/>
      <c r="F16" s="3"/>
      <c r="G16" s="3"/>
      <c r="H16" s="3"/>
      <c r="I16" s="3"/>
      <c r="J16" s="3"/>
    </row>
    <row r="17" spans="1:10">
      <c r="A17" s="3"/>
      <c r="B17" s="255" t="s">
        <v>194</v>
      </c>
      <c r="C17" s="256"/>
      <c r="D17" s="256"/>
      <c r="E17" s="256"/>
      <c r="F17" s="256"/>
      <c r="G17" s="256"/>
      <c r="H17" s="256"/>
      <c r="I17" s="257"/>
      <c r="J17" s="3"/>
    </row>
    <row r="18" spans="1:10">
      <c r="A18" s="3"/>
      <c r="B18" s="258" t="s">
        <v>193</v>
      </c>
      <c r="C18" s="259"/>
      <c r="D18" s="259"/>
      <c r="E18" s="259"/>
      <c r="F18" s="259"/>
      <c r="G18" s="259"/>
      <c r="H18" s="259"/>
      <c r="I18" s="260"/>
      <c r="J18" s="3"/>
    </row>
    <row r="19" spans="1:10">
      <c r="A19" s="3"/>
      <c r="B19" s="258" t="s">
        <v>179</v>
      </c>
      <c r="C19" s="259"/>
      <c r="D19" s="259"/>
      <c r="E19" s="259"/>
      <c r="F19" s="259"/>
      <c r="G19" s="259"/>
      <c r="H19" s="259"/>
      <c r="I19" s="260"/>
      <c r="J19" s="3"/>
    </row>
    <row r="20" spans="1:10">
      <c r="A20" s="3"/>
      <c r="B20" s="261" t="s">
        <v>180</v>
      </c>
      <c r="C20" s="262"/>
      <c r="D20" s="262"/>
      <c r="E20" s="262"/>
      <c r="F20" s="262"/>
      <c r="G20" s="262"/>
      <c r="H20" s="262"/>
      <c r="I20" s="263"/>
      <c r="J20" s="3"/>
    </row>
    <row r="21" spans="1:10">
      <c r="A21" s="3"/>
      <c r="B21" s="264" t="s">
        <v>181</v>
      </c>
      <c r="C21" s="262"/>
      <c r="D21" s="262"/>
      <c r="E21" s="262"/>
      <c r="F21" s="262"/>
      <c r="G21" s="262"/>
      <c r="H21" s="262"/>
      <c r="I21" s="263"/>
      <c r="J21" s="3"/>
    </row>
    <row r="22" spans="1:10">
      <c r="A22" s="3"/>
      <c r="B22" s="265" t="s">
        <v>182</v>
      </c>
      <c r="C22" s="266"/>
      <c r="D22" s="266"/>
      <c r="E22" s="266"/>
      <c r="F22" s="266"/>
      <c r="G22" s="266"/>
      <c r="H22" s="266"/>
      <c r="I22" s="267"/>
      <c r="J22" s="3"/>
    </row>
    <row r="23" spans="1:10">
      <c r="A23" s="3"/>
      <c r="B23" s="3"/>
      <c r="C23" s="3"/>
      <c r="D23" s="3"/>
      <c r="E23" s="3"/>
      <c r="F23" s="3"/>
      <c r="G23" s="3"/>
      <c r="H23" s="3"/>
      <c r="I23" s="3"/>
      <c r="J23" s="3"/>
    </row>
    <row r="24" spans="1:10">
      <c r="A24" s="3"/>
      <c r="B24" s="3"/>
      <c r="C24" s="3"/>
      <c r="D24" s="3"/>
      <c r="E24" s="3"/>
      <c r="F24" s="3"/>
      <c r="G24" s="3"/>
      <c r="H24" s="3"/>
      <c r="I24" s="3"/>
      <c r="J24" s="3"/>
    </row>
    <row r="25" spans="1:10">
      <c r="A25" s="3"/>
      <c r="B25" s="6"/>
      <c r="C25" s="11"/>
      <c r="D25" s="11"/>
      <c r="E25" s="11"/>
      <c r="F25" s="3"/>
      <c r="G25" s="3"/>
      <c r="H25" s="3"/>
      <c r="I25" s="3"/>
      <c r="J25" s="3"/>
    </row>
    <row r="26" spans="1:10">
      <c r="A26" s="3"/>
      <c r="B26" s="16"/>
      <c r="C26" s="17"/>
      <c r="D26" s="17"/>
      <c r="E26" s="17"/>
      <c r="F26" s="3"/>
      <c r="G26" s="3"/>
      <c r="H26" s="3"/>
      <c r="I26" s="3"/>
      <c r="J26" s="3"/>
    </row>
    <row r="27" spans="1:10">
      <c r="A27" s="3"/>
      <c r="B27" s="7"/>
      <c r="C27" s="3"/>
      <c r="D27" s="11"/>
      <c r="E27" s="11"/>
      <c r="F27" s="3"/>
      <c r="G27" s="3"/>
      <c r="H27" s="3"/>
      <c r="I27" s="3"/>
      <c r="J27" s="3"/>
    </row>
    <row r="28" spans="1:10">
      <c r="A28" s="3"/>
      <c r="B28" s="3"/>
      <c r="C28" s="11"/>
      <c r="D28" s="11"/>
      <c r="E28" s="11"/>
      <c r="F28" s="3"/>
      <c r="G28" s="3"/>
      <c r="H28" s="3"/>
      <c r="I28" s="3"/>
      <c r="J28" s="3"/>
    </row>
    <row r="29" spans="1:10">
      <c r="A29" s="3"/>
      <c r="B29" s="3"/>
      <c r="C29" s="11"/>
      <c r="D29" s="11"/>
      <c r="E29" s="11"/>
      <c r="F29" s="3"/>
      <c r="G29" s="3"/>
      <c r="H29" s="3"/>
      <c r="I29" s="3"/>
      <c r="J29" s="3"/>
    </row>
    <row r="30" spans="1:10">
      <c r="A30" s="3"/>
      <c r="B30" s="3"/>
      <c r="C30" s="3"/>
      <c r="D30" s="11"/>
      <c r="E30" s="11"/>
      <c r="F30" s="3"/>
      <c r="G30" s="3"/>
      <c r="H30" s="3"/>
      <c r="I30" s="3"/>
      <c r="J30" s="3"/>
    </row>
    <row r="31" spans="1:10">
      <c r="A31" s="3"/>
      <c r="B31" s="7"/>
      <c r="C31" s="3"/>
      <c r="D31" s="11"/>
      <c r="E31" s="11"/>
      <c r="F31" s="3"/>
      <c r="G31" s="3"/>
      <c r="H31" s="3"/>
      <c r="I31" s="3"/>
      <c r="J31" s="3"/>
    </row>
    <row r="32" spans="1:10">
      <c r="A32" s="3"/>
      <c r="B32" s="6"/>
      <c r="C32" s="3"/>
      <c r="D32" s="11"/>
      <c r="E32" s="11"/>
      <c r="F32" s="3"/>
      <c r="G32" s="3"/>
      <c r="H32" s="3"/>
      <c r="I32" s="3"/>
      <c r="J32" s="3"/>
    </row>
    <row r="33" spans="1:10">
      <c r="A33" s="3"/>
      <c r="B33" s="6"/>
      <c r="C33" s="11"/>
      <c r="D33" s="11"/>
      <c r="E33" s="11"/>
      <c r="F33" s="3"/>
      <c r="G33" s="3"/>
      <c r="H33" s="3"/>
      <c r="I33" s="3"/>
      <c r="J33" s="3"/>
    </row>
    <row r="34" spans="1:10">
      <c r="A34" s="3"/>
      <c r="B34" s="3"/>
      <c r="C34" s="11"/>
      <c r="D34" s="11"/>
      <c r="E34" s="11"/>
      <c r="F34" s="3"/>
      <c r="G34" s="3"/>
      <c r="H34" s="3"/>
      <c r="I34" s="3"/>
      <c r="J34" s="3"/>
    </row>
    <row r="35" spans="1:10">
      <c r="A35" s="3"/>
      <c r="B35" s="6"/>
      <c r="C35" s="6"/>
      <c r="D35" s="3"/>
      <c r="E35" s="3"/>
      <c r="F35" s="3"/>
      <c r="G35" s="3"/>
      <c r="H35" s="3"/>
      <c r="I35" s="3"/>
      <c r="J35" s="3"/>
    </row>
    <row r="36" spans="1:10">
      <c r="A36" s="3"/>
      <c r="B36" s="6"/>
      <c r="C36" s="18"/>
      <c r="D36" s="11"/>
      <c r="E36" s="11"/>
      <c r="F36" s="3"/>
      <c r="G36" s="3"/>
      <c r="H36" s="3"/>
      <c r="I36" s="3"/>
      <c r="J36" s="3"/>
    </row>
    <row r="37" spans="1:10">
      <c r="A37" s="3"/>
      <c r="B37" s="6"/>
      <c r="C37" s="18"/>
      <c r="D37" s="11"/>
      <c r="E37" s="11"/>
      <c r="F37" s="3"/>
      <c r="G37" s="3"/>
      <c r="H37" s="3"/>
      <c r="I37" s="3"/>
      <c r="J37" s="3"/>
    </row>
    <row r="38" spans="1:10">
      <c r="A38" s="3"/>
      <c r="B38" s="3"/>
      <c r="C38" s="11"/>
      <c r="D38" s="11"/>
      <c r="E38" s="11"/>
      <c r="F38" s="3"/>
      <c r="G38" s="3"/>
      <c r="H38" s="3"/>
      <c r="I38" s="3"/>
      <c r="J38" s="3"/>
    </row>
    <row r="39" spans="1:10">
      <c r="A39" s="3"/>
      <c r="B39" s="7"/>
      <c r="C39" s="11"/>
      <c r="D39" s="11"/>
      <c r="E39" s="11"/>
      <c r="F39" s="3"/>
      <c r="G39" s="3"/>
      <c r="H39" s="3"/>
      <c r="I39" s="3"/>
      <c r="J39" s="3"/>
    </row>
    <row r="40" spans="1:10">
      <c r="A40" s="3"/>
      <c r="B40" s="3"/>
      <c r="C40" s="11"/>
      <c r="D40" s="11"/>
      <c r="E40" s="11"/>
      <c r="F40" s="3"/>
      <c r="G40" s="3"/>
      <c r="H40" s="3"/>
      <c r="I40" s="3"/>
      <c r="J40" s="3"/>
    </row>
    <row r="41" spans="1:10">
      <c r="A41" s="3"/>
      <c r="B41" s="7"/>
      <c r="C41" s="11"/>
      <c r="D41" s="19"/>
      <c r="E41" s="19"/>
      <c r="F41" s="3"/>
      <c r="G41" s="3"/>
      <c r="H41" s="3"/>
      <c r="I41" s="3"/>
      <c r="J41" s="3"/>
    </row>
    <row r="42" spans="1:10">
      <c r="A42" s="3"/>
      <c r="B42" s="7"/>
      <c r="C42" s="11"/>
      <c r="D42" s="11"/>
      <c r="E42" s="11"/>
      <c r="F42" s="3"/>
      <c r="G42" s="3"/>
      <c r="H42" s="3"/>
      <c r="I42" s="3"/>
      <c r="J42" s="3"/>
    </row>
    <row r="43" spans="1:10">
      <c r="A43" s="3"/>
      <c r="B43" s="3"/>
      <c r="C43" s="3"/>
      <c r="D43" s="3"/>
      <c r="E43" s="3"/>
      <c r="F43" s="3"/>
      <c r="G43" s="3"/>
      <c r="H43" s="3"/>
      <c r="I43" s="3"/>
      <c r="J43" s="3"/>
    </row>
    <row r="44" spans="1:10">
      <c r="A44" s="3"/>
      <c r="B44" s="3"/>
      <c r="C44" s="3"/>
      <c r="D44" s="11"/>
      <c r="E44" s="11"/>
      <c r="F44" s="3"/>
      <c r="G44" s="3"/>
      <c r="H44" s="3"/>
      <c r="I44" s="3"/>
      <c r="J44" s="3"/>
    </row>
    <row r="45" spans="1:10">
      <c r="A45" s="3"/>
      <c r="B45" s="3"/>
      <c r="C45" s="3"/>
      <c r="D45" s="3"/>
      <c r="E45" s="3"/>
      <c r="F45" s="3"/>
      <c r="G45" s="3"/>
      <c r="H45" s="3"/>
      <c r="I45" s="3"/>
      <c r="J45" s="3"/>
    </row>
    <row r="46" spans="1:10">
      <c r="A46" s="3"/>
      <c r="B46" s="3"/>
      <c r="C46" s="3"/>
      <c r="D46" s="3"/>
      <c r="E46" s="3"/>
      <c r="F46" s="3"/>
      <c r="G46" s="3"/>
      <c r="H46" s="3"/>
      <c r="I46" s="3"/>
      <c r="J46" s="3"/>
    </row>
  </sheetData>
  <sheetProtection password="DE5B" sheet="1" objects="1" scenarios="1"/>
  <customSheetViews>
    <customSheetView guid="{8B667783-ABB1-44FC-8E84-2FB0B35607A4}">
      <selection activeCell="G18" sqref="G18"/>
      <pageMargins left="0.75" right="0.75" top="1" bottom="1" header="0.5" footer="0.5"/>
      <printOptions horizontalCentered="1" verticalCentered="1" headings="1"/>
      <pageSetup orientation="landscape" r:id="rId1"/>
      <headerFooter alignWithMargins="0">
        <oddHeader>&amp;CExcel FS Budget for QA</oddHeader>
        <oddFooter>&amp;CWorksheet: Elig_Data</oddFooter>
      </headerFooter>
    </customSheetView>
    <customSheetView guid="{3CED0DA5-B598-4FE7-9427-9FCE2EEF7FEF}">
      <selection activeCell="G18" sqref="G18"/>
      <pageMargins left="0.75" right="0.75" top="1" bottom="1" header="0.5" footer="0.5"/>
      <printOptions horizontalCentered="1" verticalCentered="1" headings="1"/>
      <pageSetup orientation="landscape" r:id="rId2"/>
      <headerFooter alignWithMargins="0">
        <oddHeader>&amp;CExcel FS Budget for QA</oddHeader>
        <oddFooter>&amp;CWorksheet: Elig_Data</oddFooter>
      </headerFooter>
    </customSheetView>
  </customSheetViews>
  <phoneticPr fontId="0" type="noConversion"/>
  <dataValidations xWindow="830" yWindow="167" count="6">
    <dataValidation type="decimal" operator="greaterThan" allowBlank="1" showInputMessage="1" showErrorMessage="1" errorTitle="Excluded Person Earnings:" error="Do not enter &quot;0&quot;.  Leave blank instead." promptTitle="Excluded Person Earnings:" prompt="Enter total countable earnings of excluded persons." sqref="H7" xr:uid="{00000000-0002-0000-0A00-000000000000}">
      <formula1>0</formula1>
    </dataValidation>
    <dataValidation type="decimal" operator="notEqual" allowBlank="1" showInputMessage="1" showErrorMessage="1" errorTitle="Excluded Cash Aid:" error="Do not enter &quot;0&quot;.  Leave blank instead." promptTitle="Excluded Cash Aid:" prompt="Enter total countable cash aid paid to excluded persons." sqref="H10" xr:uid="{00000000-0002-0000-0A00-000001000000}">
      <formula1>0</formula1>
    </dataValidation>
    <dataValidation allowBlank="1" showInputMessage="1" showErrorMessage="1" promptTitle="Excluded Person Unearned:" prompt="Enter total countable unearned income of excluded persons." sqref="H14" xr:uid="{00000000-0002-0000-0A00-000002000000}"/>
    <dataValidation type="decimal" operator="notEqual" allowBlank="1" showInputMessage="1" showErrorMessage="1" errorTitle="Income Items" error="Do not enter 0.  Leave blank instead." promptTitle="Income Items" prompt="Individual items entered in rows total across." sqref="C7:G7" xr:uid="{00000000-0002-0000-0A00-000003000000}">
      <formula1>0</formula1>
    </dataValidation>
    <dataValidation type="decimal" operator="notEqual" allowBlank="1" showInputMessage="1" showErrorMessage="1" errorTitle="Self-Employment Income Items" error="Do not enter 0.  Leave blank instead." promptTitle="Self-Employment Income Items" prompt="Individual items total across.  Begin self-employment expense figures with a minus sign (-)." sqref="C8:G8" xr:uid="{00000000-0002-0000-0A00-000004000000}">
      <formula1>0</formula1>
    </dataValidation>
    <dataValidation type="decimal" operator="notEqual" allowBlank="1" showInputMessage="1" showErrorMessage="1" errorTitle="Income Items" error="Do not enter &quot;0&quot;. Leave blank instead." promptTitle="Income Items" prompt="Individual items entered in rows total across." sqref="C9:G14" xr:uid="{00000000-0002-0000-0A00-000005000000}">
      <formula1>0</formula1>
    </dataValidation>
  </dataValidations>
  <printOptions horizontalCentered="1" verticalCentered="1" headings="1"/>
  <pageMargins left="0.75" right="0.75" top="1" bottom="1" header="0.5" footer="0.5"/>
  <pageSetup orientation="landscape" r:id="rId3"/>
  <headerFooter alignWithMargins="0">
    <oddHeader>&amp;CExcel FS Budget for QA</oddHeader>
    <oddFooter>&amp;CWorksheet: Elig_Data</oddFooter>
  </headerFooter>
  <ignoredErrors>
    <ignoredError sqref="I8" 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6" name="Button 1">
              <controlPr defaultSize="0" autoFill="0" autoLine="0" autoPict="0" macro="[0]!COPY_DATA">
                <anchor moveWithCells="1" sizeWithCells="1">
                  <from>
                    <xdr:col>3</xdr:col>
                    <xdr:colOff>381000</xdr:colOff>
                    <xdr:row>2</xdr:row>
                    <xdr:rowOff>47625</xdr:rowOff>
                  </from>
                  <to>
                    <xdr:col>4</xdr:col>
                    <xdr:colOff>295275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tabColor rgb="FFFFC000"/>
  </sheetPr>
  <dimension ref="A1:AA95"/>
  <sheetViews>
    <sheetView zoomScaleNormal="100" workbookViewId="0">
      <pane xSplit="1" topLeftCell="B1" activePane="topRight" state="frozen"/>
      <selection activeCell="A46" sqref="A46"/>
      <selection pane="topRight" activeCell="Z67" sqref="Z67"/>
    </sheetView>
  </sheetViews>
  <sheetFormatPr defaultColWidth="9.140625" defaultRowHeight="12.75"/>
  <cols>
    <col min="1" max="1" width="37.5703125" bestFit="1" customWidth="1"/>
    <col min="5" max="5" width="9.140625" customWidth="1"/>
    <col min="22" max="22" width="9.140625" style="438"/>
  </cols>
  <sheetData>
    <row r="1" spans="1:25">
      <c r="A1" t="s">
        <v>98</v>
      </c>
    </row>
    <row r="2" spans="1: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</row>
    <row r="3" spans="1:25">
      <c r="A3" s="8" t="s">
        <v>100</v>
      </c>
      <c r="B3" s="310">
        <v>38261</v>
      </c>
      <c r="C3" s="310">
        <v>38626</v>
      </c>
      <c r="D3" s="310">
        <v>38934</v>
      </c>
      <c r="E3" s="310">
        <v>38991</v>
      </c>
      <c r="F3" s="310">
        <v>39356</v>
      </c>
      <c r="G3" s="310">
        <v>39722</v>
      </c>
      <c r="H3" s="310">
        <v>40087</v>
      </c>
      <c r="I3" s="310">
        <v>40452</v>
      </c>
      <c r="J3" s="310">
        <v>40817</v>
      </c>
      <c r="K3" s="310">
        <v>41183</v>
      </c>
      <c r="L3" s="310">
        <v>41548</v>
      </c>
      <c r="M3" s="310">
        <v>41579</v>
      </c>
      <c r="N3" s="310">
        <v>41913</v>
      </c>
      <c r="O3" s="503">
        <v>42278</v>
      </c>
      <c r="P3" s="320">
        <v>42644</v>
      </c>
      <c r="Q3" s="320">
        <v>43009</v>
      </c>
      <c r="R3" s="320">
        <v>43374</v>
      </c>
      <c r="S3" s="320">
        <v>43739</v>
      </c>
      <c r="T3" s="503">
        <v>44105</v>
      </c>
      <c r="U3" s="503">
        <v>44197</v>
      </c>
      <c r="V3" s="503">
        <v>44470</v>
      </c>
      <c r="W3" s="503">
        <v>44835</v>
      </c>
      <c r="X3" s="666">
        <v>45200</v>
      </c>
    </row>
    <row r="4" spans="1:25">
      <c r="A4" s="12" t="s">
        <v>258</v>
      </c>
      <c r="B4" s="13">
        <v>134</v>
      </c>
      <c r="C4" s="13">
        <v>134</v>
      </c>
      <c r="D4" s="13">
        <v>134</v>
      </c>
      <c r="E4" s="13">
        <v>134</v>
      </c>
      <c r="F4" s="13">
        <v>134</v>
      </c>
      <c r="G4" s="13">
        <v>144</v>
      </c>
      <c r="H4" s="13">
        <v>141</v>
      </c>
      <c r="I4" s="13">
        <v>142</v>
      </c>
      <c r="J4" s="13">
        <v>147</v>
      </c>
      <c r="K4" s="13">
        <v>149</v>
      </c>
      <c r="L4" s="13">
        <v>152</v>
      </c>
      <c r="M4" s="13">
        <v>152</v>
      </c>
      <c r="N4" s="13">
        <v>155</v>
      </c>
      <c r="O4" s="13">
        <v>155</v>
      </c>
      <c r="P4" s="13">
        <v>157</v>
      </c>
      <c r="Q4" s="13">
        <v>160</v>
      </c>
      <c r="R4" s="13">
        <v>164</v>
      </c>
      <c r="S4" s="13">
        <v>167</v>
      </c>
      <c r="T4" s="13">
        <v>167</v>
      </c>
      <c r="U4" s="13">
        <v>167</v>
      </c>
      <c r="V4" s="13">
        <v>177</v>
      </c>
      <c r="W4" s="665">
        <v>193</v>
      </c>
      <c r="X4" s="667">
        <v>198</v>
      </c>
    </row>
    <row r="5" spans="1:25">
      <c r="A5" s="12" t="s">
        <v>257</v>
      </c>
      <c r="B5" s="13">
        <v>134</v>
      </c>
      <c r="C5" s="13">
        <v>134</v>
      </c>
      <c r="D5" s="13">
        <v>134</v>
      </c>
      <c r="E5" s="13">
        <v>139</v>
      </c>
      <c r="F5" s="13">
        <v>143</v>
      </c>
      <c r="G5" s="13">
        <v>147</v>
      </c>
      <c r="H5" s="13">
        <v>153</v>
      </c>
      <c r="I5" s="13">
        <v>153</v>
      </c>
      <c r="J5" s="13">
        <v>155</v>
      </c>
      <c r="K5" s="13">
        <v>160</v>
      </c>
      <c r="L5" s="13">
        <v>163</v>
      </c>
      <c r="M5" s="13">
        <v>163</v>
      </c>
      <c r="N5" s="13">
        <v>165</v>
      </c>
      <c r="O5" s="13">
        <v>168</v>
      </c>
      <c r="P5" s="13">
        <v>168</v>
      </c>
      <c r="Q5" s="13">
        <v>170</v>
      </c>
      <c r="R5" s="13">
        <v>174</v>
      </c>
      <c r="S5" s="13">
        <v>178</v>
      </c>
      <c r="T5" s="13">
        <v>181</v>
      </c>
      <c r="U5" s="13">
        <v>181</v>
      </c>
      <c r="V5" s="13">
        <v>184</v>
      </c>
      <c r="W5" s="665">
        <v>193</v>
      </c>
      <c r="X5" s="667">
        <v>208</v>
      </c>
    </row>
    <row r="6" spans="1:25">
      <c r="A6" s="12" t="s">
        <v>219</v>
      </c>
      <c r="B6" s="13">
        <v>153</v>
      </c>
      <c r="C6" s="13">
        <v>157</v>
      </c>
      <c r="D6" s="13">
        <v>157</v>
      </c>
      <c r="E6" s="13">
        <v>162</v>
      </c>
      <c r="F6" s="13">
        <v>167</v>
      </c>
      <c r="G6" s="13">
        <v>172</v>
      </c>
      <c r="H6" s="13">
        <v>179</v>
      </c>
      <c r="I6" s="13">
        <v>179</v>
      </c>
      <c r="J6" s="13">
        <v>181</v>
      </c>
      <c r="K6" s="13">
        <v>187</v>
      </c>
      <c r="L6" s="13">
        <v>191</v>
      </c>
      <c r="M6" s="13">
        <v>191</v>
      </c>
      <c r="N6" s="13">
        <v>193</v>
      </c>
      <c r="O6" s="13">
        <v>197</v>
      </c>
      <c r="P6" s="13">
        <v>197</v>
      </c>
      <c r="Q6" s="13">
        <v>199</v>
      </c>
      <c r="R6" s="13">
        <v>204</v>
      </c>
      <c r="S6" s="13">
        <v>209</v>
      </c>
      <c r="T6" s="13">
        <v>212</v>
      </c>
      <c r="U6" s="13">
        <v>212</v>
      </c>
      <c r="V6" s="13">
        <v>215</v>
      </c>
      <c r="W6" s="665">
        <v>225</v>
      </c>
      <c r="X6" s="667">
        <v>244</v>
      </c>
    </row>
    <row r="7" spans="1:25">
      <c r="A7" s="12" t="s">
        <v>220</v>
      </c>
      <c r="B7" s="13">
        <v>175</v>
      </c>
      <c r="C7" s="13">
        <v>179</v>
      </c>
      <c r="D7" s="13">
        <v>179</v>
      </c>
      <c r="E7" s="13">
        <v>186</v>
      </c>
      <c r="F7" s="13">
        <v>191</v>
      </c>
      <c r="G7" s="13">
        <v>197</v>
      </c>
      <c r="H7" s="13">
        <v>205</v>
      </c>
      <c r="I7" s="13">
        <v>205</v>
      </c>
      <c r="J7" s="13">
        <v>208</v>
      </c>
      <c r="K7" s="13">
        <v>214</v>
      </c>
      <c r="L7" s="13">
        <v>219</v>
      </c>
      <c r="M7" s="13">
        <v>219</v>
      </c>
      <c r="N7" s="13">
        <v>221</v>
      </c>
      <c r="O7" s="13">
        <v>226</v>
      </c>
      <c r="P7" s="13">
        <v>226</v>
      </c>
      <c r="Q7" s="13">
        <v>228</v>
      </c>
      <c r="R7" s="13">
        <v>234</v>
      </c>
      <c r="S7" s="13">
        <v>240</v>
      </c>
      <c r="T7" s="13">
        <v>243</v>
      </c>
      <c r="U7" s="13">
        <v>243</v>
      </c>
      <c r="V7" s="13">
        <v>246</v>
      </c>
      <c r="W7" s="665">
        <v>258</v>
      </c>
      <c r="X7" s="667">
        <v>279</v>
      </c>
    </row>
    <row r="8" spans="1:25">
      <c r="A8" s="8" t="s">
        <v>41</v>
      </c>
      <c r="B8" s="14">
        <v>143</v>
      </c>
      <c r="C8" s="14">
        <v>143</v>
      </c>
      <c r="D8" s="14">
        <v>143</v>
      </c>
      <c r="E8" s="14">
        <v>143</v>
      </c>
      <c r="F8" s="14">
        <v>143</v>
      </c>
      <c r="G8" s="14">
        <v>143</v>
      </c>
      <c r="H8" s="14">
        <v>143</v>
      </c>
      <c r="I8" s="14">
        <v>143</v>
      </c>
      <c r="J8" s="14">
        <v>143</v>
      </c>
      <c r="K8" s="14">
        <v>143</v>
      </c>
      <c r="L8" s="14">
        <v>143</v>
      </c>
      <c r="M8" s="14">
        <v>143</v>
      </c>
      <c r="N8" s="13">
        <v>143</v>
      </c>
      <c r="O8" s="13">
        <v>143</v>
      </c>
      <c r="P8" s="13">
        <v>143</v>
      </c>
      <c r="Q8" s="13">
        <v>143</v>
      </c>
      <c r="R8" s="13">
        <v>143</v>
      </c>
      <c r="S8" s="13">
        <v>152.06</v>
      </c>
      <c r="T8" s="13">
        <v>156.74</v>
      </c>
      <c r="U8" s="13">
        <v>156.74</v>
      </c>
      <c r="V8" s="13">
        <v>159.72999999999999</v>
      </c>
      <c r="W8" s="665">
        <v>166.81</v>
      </c>
      <c r="X8" s="667">
        <v>179.66</v>
      </c>
    </row>
    <row r="9" spans="1:25">
      <c r="A9" s="9" t="s">
        <v>222</v>
      </c>
      <c r="B9" s="14">
        <v>388</v>
      </c>
      <c r="C9" s="14">
        <v>400</v>
      </c>
      <c r="D9" s="14">
        <v>400</v>
      </c>
      <c r="E9" s="14">
        <v>417</v>
      </c>
      <c r="F9" s="14">
        <v>431</v>
      </c>
      <c r="G9" s="14">
        <v>446</v>
      </c>
      <c r="H9" s="14">
        <v>459</v>
      </c>
      <c r="I9" s="14">
        <v>458</v>
      </c>
      <c r="J9" s="14">
        <v>459</v>
      </c>
      <c r="K9" s="14">
        <v>469</v>
      </c>
      <c r="L9" s="14">
        <v>478</v>
      </c>
      <c r="M9" s="14">
        <v>478</v>
      </c>
      <c r="N9" s="13">
        <v>490</v>
      </c>
      <c r="O9" s="13">
        <v>504</v>
      </c>
      <c r="P9" s="13">
        <v>517</v>
      </c>
      <c r="Q9" s="13">
        <v>535</v>
      </c>
      <c r="R9" s="13">
        <v>552</v>
      </c>
      <c r="S9" s="13">
        <v>569</v>
      </c>
      <c r="T9" s="13">
        <v>586</v>
      </c>
      <c r="U9" s="13">
        <v>586</v>
      </c>
      <c r="V9" s="13">
        <v>597</v>
      </c>
      <c r="W9" s="665">
        <v>624</v>
      </c>
      <c r="X9" s="667">
        <v>672</v>
      </c>
      <c r="Y9" s="654"/>
    </row>
    <row r="10" spans="1:25">
      <c r="A10" s="10" t="s">
        <v>154</v>
      </c>
      <c r="B10" s="14">
        <v>35</v>
      </c>
      <c r="C10" s="14">
        <v>35</v>
      </c>
      <c r="D10" s="14">
        <v>35</v>
      </c>
      <c r="E10" s="14">
        <v>35</v>
      </c>
      <c r="F10" s="14">
        <v>35</v>
      </c>
      <c r="G10" s="14">
        <v>35</v>
      </c>
      <c r="H10" s="14">
        <v>35</v>
      </c>
      <c r="I10" s="14">
        <v>35</v>
      </c>
      <c r="J10" s="14">
        <v>35</v>
      </c>
      <c r="K10" s="14">
        <v>35</v>
      </c>
      <c r="L10" s="14">
        <v>35</v>
      </c>
      <c r="M10" s="14">
        <v>35</v>
      </c>
      <c r="N10" s="13">
        <v>35</v>
      </c>
      <c r="O10" s="13">
        <v>35</v>
      </c>
      <c r="P10" s="13">
        <v>35</v>
      </c>
      <c r="Q10" s="13">
        <v>35</v>
      </c>
      <c r="R10" s="13">
        <v>35</v>
      </c>
      <c r="S10" s="13">
        <v>35</v>
      </c>
      <c r="T10" s="13">
        <v>35</v>
      </c>
      <c r="U10" s="13">
        <v>35</v>
      </c>
      <c r="V10" s="13">
        <v>35</v>
      </c>
      <c r="W10" s="665">
        <v>35</v>
      </c>
      <c r="X10" s="668">
        <v>35</v>
      </c>
    </row>
    <row r="11" spans="1:25">
      <c r="A11" s="468" t="s">
        <v>42</v>
      </c>
      <c r="B11" s="14">
        <v>210</v>
      </c>
      <c r="C11" s="14">
        <v>223</v>
      </c>
      <c r="D11" s="14">
        <v>271</v>
      </c>
      <c r="E11" s="14">
        <v>271</v>
      </c>
      <c r="F11" s="14">
        <v>274</v>
      </c>
      <c r="G11" s="14">
        <v>287</v>
      </c>
      <c r="H11" s="14">
        <v>287</v>
      </c>
      <c r="I11" s="14">
        <v>320</v>
      </c>
      <c r="J11" s="14">
        <v>329</v>
      </c>
      <c r="K11" s="14">
        <v>331</v>
      </c>
      <c r="L11" s="14">
        <v>363</v>
      </c>
      <c r="M11" s="14">
        <v>363</v>
      </c>
      <c r="N11" s="13">
        <v>373</v>
      </c>
      <c r="O11" s="13">
        <v>385</v>
      </c>
      <c r="P11" s="13">
        <v>389</v>
      </c>
      <c r="Q11" s="13">
        <v>397</v>
      </c>
      <c r="R11" s="13">
        <v>415</v>
      </c>
      <c r="S11" s="13">
        <v>432</v>
      </c>
      <c r="T11" s="13">
        <v>438</v>
      </c>
      <c r="U11" s="13">
        <v>438</v>
      </c>
      <c r="V11" s="13">
        <v>487</v>
      </c>
      <c r="W11" s="665">
        <v>560</v>
      </c>
      <c r="X11" s="667">
        <v>596</v>
      </c>
    </row>
    <row r="12" spans="1: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</row>
    <row r="13" spans="1:25">
      <c r="A13" s="311"/>
      <c r="B13" s="312" t="s">
        <v>223</v>
      </c>
      <c r="C13" s="313"/>
      <c r="D13" s="313"/>
      <c r="E13" s="313"/>
      <c r="F13" s="313"/>
      <c r="G13" s="313"/>
      <c r="H13" s="313"/>
      <c r="I13" s="313"/>
      <c r="J13" s="313"/>
      <c r="K13" s="313"/>
      <c r="L13" s="313"/>
      <c r="M13" s="313"/>
      <c r="N13" s="314"/>
      <c r="O13" s="313"/>
      <c r="P13" s="313"/>
      <c r="Q13" s="315"/>
      <c r="R13" s="316"/>
      <c r="S13" s="314"/>
      <c r="T13" s="314"/>
      <c r="U13" s="314"/>
      <c r="V13" s="314"/>
      <c r="W13" s="311"/>
    </row>
    <row r="14" spans="1: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</row>
    <row r="15" spans="1:25">
      <c r="A15" s="371" t="s">
        <v>99</v>
      </c>
      <c r="B15" s="317"/>
      <c r="C15" s="318"/>
      <c r="D15" s="318"/>
      <c r="E15" s="318"/>
      <c r="F15" s="318"/>
      <c r="G15" s="318"/>
      <c r="H15" s="318"/>
      <c r="I15" s="318"/>
      <c r="J15" s="318"/>
      <c r="K15" s="318"/>
      <c r="L15" s="318"/>
      <c r="M15" s="318"/>
      <c r="N15" s="318"/>
      <c r="O15" s="318"/>
      <c r="P15" s="318"/>
      <c r="Q15" s="3"/>
      <c r="R15" s="3"/>
      <c r="S15" s="318"/>
      <c r="T15" s="318"/>
      <c r="U15" s="318"/>
      <c r="V15" s="3"/>
      <c r="W15" s="3"/>
    </row>
    <row r="16" spans="1:25">
      <c r="A16" s="8" t="s">
        <v>43</v>
      </c>
      <c r="B16" s="319">
        <v>38261</v>
      </c>
      <c r="C16" s="310">
        <v>38626</v>
      </c>
      <c r="D16" s="310">
        <v>38934</v>
      </c>
      <c r="E16" s="310">
        <v>38991</v>
      </c>
      <c r="F16" s="310">
        <v>39356</v>
      </c>
      <c r="G16" s="310">
        <v>39722</v>
      </c>
      <c r="H16" s="310">
        <v>40087</v>
      </c>
      <c r="I16" s="310">
        <v>40452</v>
      </c>
      <c r="J16" s="310">
        <v>40817</v>
      </c>
      <c r="K16" s="310">
        <v>41183</v>
      </c>
      <c r="L16" s="310">
        <v>41548</v>
      </c>
      <c r="M16" s="310">
        <v>41579</v>
      </c>
      <c r="N16" s="310">
        <v>41913</v>
      </c>
      <c r="O16" s="503">
        <v>42278</v>
      </c>
      <c r="P16" s="320">
        <v>42644</v>
      </c>
      <c r="Q16" s="320">
        <v>43009</v>
      </c>
      <c r="R16" s="320">
        <v>43374</v>
      </c>
      <c r="S16" s="320">
        <v>43739</v>
      </c>
      <c r="T16" s="503">
        <v>44105</v>
      </c>
      <c r="U16" s="503">
        <v>44197</v>
      </c>
      <c r="V16" s="503">
        <v>44470</v>
      </c>
      <c r="W16" s="503">
        <v>44835</v>
      </c>
      <c r="X16" s="644">
        <v>45200</v>
      </c>
    </row>
    <row r="17" spans="1:24">
      <c r="A17" s="8">
        <v>1</v>
      </c>
      <c r="B17" s="14">
        <v>149</v>
      </c>
      <c r="C17" s="14">
        <v>152</v>
      </c>
      <c r="D17" s="14">
        <v>152</v>
      </c>
      <c r="E17" s="14">
        <v>155</v>
      </c>
      <c r="F17" s="14">
        <v>162</v>
      </c>
      <c r="G17" s="14">
        <v>176</v>
      </c>
      <c r="H17" s="14">
        <v>200</v>
      </c>
      <c r="I17" s="14">
        <v>200</v>
      </c>
      <c r="J17" s="14">
        <v>200</v>
      </c>
      <c r="K17" s="14">
        <v>200</v>
      </c>
      <c r="L17" s="14">
        <v>200</v>
      </c>
      <c r="M17" s="14">
        <v>189</v>
      </c>
      <c r="N17" s="13">
        <v>194</v>
      </c>
      <c r="O17" s="13">
        <v>194</v>
      </c>
      <c r="P17" s="13">
        <v>194</v>
      </c>
      <c r="Q17" s="13">
        <v>192</v>
      </c>
      <c r="R17" s="13">
        <v>192</v>
      </c>
      <c r="S17" s="13">
        <v>194</v>
      </c>
      <c r="T17" s="13">
        <v>204</v>
      </c>
      <c r="U17" s="13">
        <v>234</v>
      </c>
      <c r="V17" s="13">
        <v>250</v>
      </c>
      <c r="W17" s="13">
        <v>281</v>
      </c>
      <c r="X17" s="370">
        <v>291</v>
      </c>
    </row>
    <row r="18" spans="1:24">
      <c r="A18" s="8">
        <v>2</v>
      </c>
      <c r="B18" s="14">
        <v>274</v>
      </c>
      <c r="C18" s="14">
        <v>278</v>
      </c>
      <c r="D18" s="14">
        <v>278</v>
      </c>
      <c r="E18" s="14">
        <v>284</v>
      </c>
      <c r="F18" s="14">
        <v>298</v>
      </c>
      <c r="G18" s="14">
        <v>323</v>
      </c>
      <c r="H18" s="14">
        <v>367</v>
      </c>
      <c r="I18" s="14">
        <v>367</v>
      </c>
      <c r="J18" s="14">
        <v>367</v>
      </c>
      <c r="K18" s="14">
        <v>367</v>
      </c>
      <c r="L18" s="14">
        <v>367</v>
      </c>
      <c r="M18" s="14">
        <v>347</v>
      </c>
      <c r="N18" s="13">
        <v>357</v>
      </c>
      <c r="O18" s="13">
        <v>357</v>
      </c>
      <c r="P18" s="13">
        <v>357</v>
      </c>
      <c r="Q18" s="13">
        <v>352</v>
      </c>
      <c r="R18" s="13">
        <v>353</v>
      </c>
      <c r="S18" s="13">
        <v>355</v>
      </c>
      <c r="T18" s="13">
        <v>374</v>
      </c>
      <c r="U18" s="13">
        <v>430</v>
      </c>
      <c r="V18" s="13">
        <v>459</v>
      </c>
      <c r="W18" s="13">
        <v>516</v>
      </c>
      <c r="X18" s="370">
        <v>535</v>
      </c>
    </row>
    <row r="19" spans="1:24">
      <c r="A19" s="8">
        <v>3</v>
      </c>
      <c r="B19" s="14">
        <v>393</v>
      </c>
      <c r="C19" s="14">
        <v>399</v>
      </c>
      <c r="D19" s="14">
        <v>399</v>
      </c>
      <c r="E19" s="14">
        <v>408</v>
      </c>
      <c r="F19" s="14">
        <v>426</v>
      </c>
      <c r="G19" s="14">
        <v>463</v>
      </c>
      <c r="H19" s="14">
        <v>526</v>
      </c>
      <c r="I19" s="14">
        <v>526</v>
      </c>
      <c r="J19" s="14">
        <v>526</v>
      </c>
      <c r="K19" s="14">
        <v>526</v>
      </c>
      <c r="L19" s="14">
        <v>526</v>
      </c>
      <c r="M19" s="14">
        <v>497</v>
      </c>
      <c r="N19" s="13">
        <v>511</v>
      </c>
      <c r="O19" s="13">
        <v>511</v>
      </c>
      <c r="P19" s="13">
        <v>511</v>
      </c>
      <c r="Q19" s="13">
        <v>504</v>
      </c>
      <c r="R19" s="13">
        <v>505</v>
      </c>
      <c r="S19" s="13">
        <v>509</v>
      </c>
      <c r="T19" s="13">
        <v>535</v>
      </c>
      <c r="U19" s="13">
        <v>616</v>
      </c>
      <c r="V19" s="13">
        <v>658</v>
      </c>
      <c r="W19" s="13">
        <v>740</v>
      </c>
      <c r="X19" s="370">
        <v>766</v>
      </c>
    </row>
    <row r="20" spans="1:24">
      <c r="A20" s="8">
        <v>4</v>
      </c>
      <c r="B20" s="14">
        <v>499</v>
      </c>
      <c r="C20" s="14">
        <v>506</v>
      </c>
      <c r="D20" s="14">
        <v>506</v>
      </c>
      <c r="E20" s="14">
        <v>518</v>
      </c>
      <c r="F20" s="14">
        <v>542</v>
      </c>
      <c r="G20" s="14">
        <v>588</v>
      </c>
      <c r="H20" s="14">
        <v>668</v>
      </c>
      <c r="I20" s="14">
        <v>668</v>
      </c>
      <c r="J20" s="14">
        <v>668</v>
      </c>
      <c r="K20" s="14">
        <v>668</v>
      </c>
      <c r="L20" s="14">
        <v>668</v>
      </c>
      <c r="M20" s="14">
        <v>632</v>
      </c>
      <c r="N20" s="13">
        <v>649</v>
      </c>
      <c r="O20" s="13">
        <v>649</v>
      </c>
      <c r="P20" s="13">
        <v>649</v>
      </c>
      <c r="Q20" s="13">
        <v>640</v>
      </c>
      <c r="R20" s="13">
        <v>642</v>
      </c>
      <c r="S20" s="13">
        <v>646</v>
      </c>
      <c r="T20" s="13">
        <v>680</v>
      </c>
      <c r="U20" s="13">
        <v>782</v>
      </c>
      <c r="V20" s="13">
        <v>835</v>
      </c>
      <c r="W20" s="13">
        <v>939</v>
      </c>
      <c r="X20" s="370">
        <v>973</v>
      </c>
    </row>
    <row r="21" spans="1:24">
      <c r="A21" s="8">
        <v>5</v>
      </c>
      <c r="B21" s="14">
        <v>592</v>
      </c>
      <c r="C21" s="14">
        <v>601</v>
      </c>
      <c r="D21" s="14">
        <v>601</v>
      </c>
      <c r="E21" s="14">
        <v>615</v>
      </c>
      <c r="F21" s="14">
        <v>643</v>
      </c>
      <c r="G21" s="14">
        <v>698</v>
      </c>
      <c r="H21" s="14">
        <v>793</v>
      </c>
      <c r="I21" s="14">
        <v>793</v>
      </c>
      <c r="J21" s="14">
        <v>793</v>
      </c>
      <c r="K21" s="14">
        <v>793</v>
      </c>
      <c r="L21" s="14">
        <v>793</v>
      </c>
      <c r="M21" s="14">
        <v>750</v>
      </c>
      <c r="N21" s="13">
        <v>771</v>
      </c>
      <c r="O21" s="13">
        <v>771</v>
      </c>
      <c r="P21" s="13">
        <v>771</v>
      </c>
      <c r="Q21" s="13">
        <v>760</v>
      </c>
      <c r="R21" s="13">
        <v>762</v>
      </c>
      <c r="S21" s="13">
        <v>768</v>
      </c>
      <c r="T21" s="13">
        <v>807</v>
      </c>
      <c r="U21" s="13">
        <v>929</v>
      </c>
      <c r="V21" s="13">
        <v>992</v>
      </c>
      <c r="W21" s="13">
        <v>1116</v>
      </c>
      <c r="X21" s="370">
        <v>1155</v>
      </c>
    </row>
    <row r="22" spans="1:24">
      <c r="A22" s="8">
        <v>6</v>
      </c>
      <c r="B22" s="14">
        <v>711</v>
      </c>
      <c r="C22" s="14">
        <v>722</v>
      </c>
      <c r="D22" s="14">
        <v>722</v>
      </c>
      <c r="E22" s="14">
        <v>738</v>
      </c>
      <c r="F22" s="14">
        <v>772</v>
      </c>
      <c r="G22" s="14">
        <v>838</v>
      </c>
      <c r="H22" s="14">
        <v>952</v>
      </c>
      <c r="I22" s="14">
        <v>952</v>
      </c>
      <c r="J22" s="14">
        <v>952</v>
      </c>
      <c r="K22" s="14">
        <v>952</v>
      </c>
      <c r="L22" s="14">
        <v>952</v>
      </c>
      <c r="M22" s="14">
        <v>900</v>
      </c>
      <c r="N22" s="13">
        <v>925</v>
      </c>
      <c r="O22" s="13">
        <v>925</v>
      </c>
      <c r="P22" s="13">
        <v>925</v>
      </c>
      <c r="Q22" s="13">
        <v>913</v>
      </c>
      <c r="R22" s="13">
        <v>914</v>
      </c>
      <c r="S22" s="13">
        <v>921</v>
      </c>
      <c r="T22" s="13">
        <v>969</v>
      </c>
      <c r="U22" s="13">
        <v>1114</v>
      </c>
      <c r="V22" s="13">
        <v>1190</v>
      </c>
      <c r="W22" s="13">
        <v>1339</v>
      </c>
      <c r="X22" s="370">
        <v>1386</v>
      </c>
    </row>
    <row r="23" spans="1:24">
      <c r="A23" s="8">
        <v>7</v>
      </c>
      <c r="B23" s="14">
        <v>786</v>
      </c>
      <c r="C23" s="14">
        <v>798</v>
      </c>
      <c r="D23" s="14">
        <v>798</v>
      </c>
      <c r="E23" s="14">
        <v>816</v>
      </c>
      <c r="F23" s="14">
        <v>853</v>
      </c>
      <c r="G23" s="14">
        <v>926</v>
      </c>
      <c r="H23" s="14">
        <v>1052</v>
      </c>
      <c r="I23" s="14">
        <v>1052</v>
      </c>
      <c r="J23" s="14">
        <v>1052</v>
      </c>
      <c r="K23" s="14">
        <v>1052</v>
      </c>
      <c r="L23" s="14">
        <v>1052</v>
      </c>
      <c r="M23" s="14">
        <v>995</v>
      </c>
      <c r="N23" s="13">
        <v>1022</v>
      </c>
      <c r="O23" s="13">
        <v>1022</v>
      </c>
      <c r="P23" s="13">
        <v>1022</v>
      </c>
      <c r="Q23" s="13">
        <v>1009</v>
      </c>
      <c r="R23" s="13">
        <v>1011</v>
      </c>
      <c r="S23" s="13">
        <v>1018</v>
      </c>
      <c r="T23" s="13">
        <v>1071</v>
      </c>
      <c r="U23" s="13">
        <v>1232</v>
      </c>
      <c r="V23" s="13">
        <v>1316</v>
      </c>
      <c r="W23" s="13">
        <v>1480</v>
      </c>
      <c r="X23" s="370">
        <v>1532</v>
      </c>
    </row>
    <row r="24" spans="1:24">
      <c r="A24" s="8">
        <v>8</v>
      </c>
      <c r="B24" s="14">
        <v>898</v>
      </c>
      <c r="C24" s="14">
        <v>912</v>
      </c>
      <c r="D24" s="14">
        <v>912</v>
      </c>
      <c r="E24" s="14">
        <v>932</v>
      </c>
      <c r="F24" s="14">
        <v>975</v>
      </c>
      <c r="G24" s="14">
        <v>1058</v>
      </c>
      <c r="H24" s="14">
        <v>1202</v>
      </c>
      <c r="I24" s="14">
        <v>1202</v>
      </c>
      <c r="J24" s="14">
        <v>1202</v>
      </c>
      <c r="K24" s="14">
        <v>1202</v>
      </c>
      <c r="L24" s="14">
        <v>1202</v>
      </c>
      <c r="M24" s="14">
        <v>1137</v>
      </c>
      <c r="N24" s="13">
        <v>1169</v>
      </c>
      <c r="O24" s="13">
        <v>1169</v>
      </c>
      <c r="P24" s="13">
        <v>1169</v>
      </c>
      <c r="Q24" s="13">
        <v>1153</v>
      </c>
      <c r="R24" s="13">
        <v>1155</v>
      </c>
      <c r="S24" s="13">
        <v>1164</v>
      </c>
      <c r="T24" s="13">
        <v>1224</v>
      </c>
      <c r="U24" s="13">
        <v>1408</v>
      </c>
      <c r="V24" s="13">
        <v>1504</v>
      </c>
      <c r="W24" s="13">
        <v>1691</v>
      </c>
      <c r="X24" s="370">
        <v>1751</v>
      </c>
    </row>
    <row r="25" spans="1:24">
      <c r="A25" s="8">
        <v>9</v>
      </c>
      <c r="B25" s="14">
        <v>1010</v>
      </c>
      <c r="C25" s="14">
        <v>1026</v>
      </c>
      <c r="D25" s="14">
        <v>1026</v>
      </c>
      <c r="E25" s="14">
        <v>1049</v>
      </c>
      <c r="F25" s="14">
        <v>1097</v>
      </c>
      <c r="G25" s="14">
        <v>1190</v>
      </c>
      <c r="H25" s="14">
        <v>1352</v>
      </c>
      <c r="I25" s="14">
        <v>1352</v>
      </c>
      <c r="J25" s="14">
        <v>1352</v>
      </c>
      <c r="K25" s="14">
        <v>1352</v>
      </c>
      <c r="L25" s="14">
        <v>1352</v>
      </c>
      <c r="M25" s="14">
        <v>1279</v>
      </c>
      <c r="N25" s="13">
        <v>1315</v>
      </c>
      <c r="O25" s="13">
        <v>1315</v>
      </c>
      <c r="P25" s="13">
        <v>1315</v>
      </c>
      <c r="Q25" s="13">
        <v>1297</v>
      </c>
      <c r="R25" s="13">
        <f>R24+144</f>
        <v>1299</v>
      </c>
      <c r="S25" s="13">
        <f>S24+146</f>
        <v>1310</v>
      </c>
      <c r="T25" s="13">
        <v>1377</v>
      </c>
      <c r="U25" s="13">
        <f>U24+176</f>
        <v>1584</v>
      </c>
      <c r="V25" s="13">
        <f>V24+188</f>
        <v>1692</v>
      </c>
      <c r="W25" s="13">
        <f>W24+211</f>
        <v>1902</v>
      </c>
      <c r="X25" s="370">
        <f>X24+219</f>
        <v>1970</v>
      </c>
    </row>
    <row r="26" spans="1:24">
      <c r="A26" s="8">
        <v>10</v>
      </c>
      <c r="B26" s="14">
        <v>1122</v>
      </c>
      <c r="C26" s="14">
        <v>1140</v>
      </c>
      <c r="D26" s="14">
        <v>1140</v>
      </c>
      <c r="E26" s="14">
        <v>1166</v>
      </c>
      <c r="F26" s="14">
        <v>1219</v>
      </c>
      <c r="G26" s="14">
        <v>1322</v>
      </c>
      <c r="H26" s="14">
        <v>1502</v>
      </c>
      <c r="I26" s="14">
        <v>1502</v>
      </c>
      <c r="J26" s="14">
        <v>1502</v>
      </c>
      <c r="K26" s="14">
        <v>1502</v>
      </c>
      <c r="L26" s="14">
        <v>1502</v>
      </c>
      <c r="M26" s="14">
        <v>1421</v>
      </c>
      <c r="N26" s="13">
        <v>1461</v>
      </c>
      <c r="O26" s="13">
        <v>1461</v>
      </c>
      <c r="P26" s="13">
        <v>1461</v>
      </c>
      <c r="Q26" s="13">
        <v>1441</v>
      </c>
      <c r="R26" s="13">
        <f>R25+144</f>
        <v>1443</v>
      </c>
      <c r="S26" s="13">
        <f>S25+146</f>
        <v>1456</v>
      </c>
      <c r="T26" s="13">
        <v>1530</v>
      </c>
      <c r="U26" s="13">
        <f>U25+176</f>
        <v>1760</v>
      </c>
      <c r="V26" s="13">
        <f t="shared" ref="V26:V36" si="0">V25+188</f>
        <v>1880</v>
      </c>
      <c r="W26" s="13">
        <f t="shared" ref="W26:W36" si="1">W25+211</f>
        <v>2113</v>
      </c>
      <c r="X26" s="370">
        <f t="shared" ref="X26:X36" si="2">X25+219</f>
        <v>2189</v>
      </c>
    </row>
    <row r="27" spans="1:24">
      <c r="A27" s="8">
        <v>11</v>
      </c>
      <c r="B27" s="14">
        <v>1234</v>
      </c>
      <c r="C27" s="14">
        <v>1254</v>
      </c>
      <c r="D27" s="14">
        <v>1254</v>
      </c>
      <c r="E27" s="14">
        <v>1283</v>
      </c>
      <c r="F27" s="14">
        <v>1341</v>
      </c>
      <c r="G27" s="14">
        <v>1454</v>
      </c>
      <c r="H27" s="14">
        <v>1652</v>
      </c>
      <c r="I27" s="14">
        <v>1652</v>
      </c>
      <c r="J27" s="14">
        <v>1652</v>
      </c>
      <c r="K27" s="14">
        <v>1652</v>
      </c>
      <c r="L27" s="14">
        <v>1652</v>
      </c>
      <c r="M27" s="14">
        <v>1563</v>
      </c>
      <c r="N27" s="13">
        <v>1607</v>
      </c>
      <c r="O27" s="13">
        <v>1607</v>
      </c>
      <c r="P27" s="13">
        <v>1607</v>
      </c>
      <c r="Q27" s="13">
        <v>1585</v>
      </c>
      <c r="R27" s="13">
        <f t="shared" ref="R27:R36" si="3">R26+144</f>
        <v>1587</v>
      </c>
      <c r="S27" s="13">
        <f t="shared" ref="S27:S36" si="4">S26+146</f>
        <v>1602</v>
      </c>
      <c r="T27" s="13">
        <v>1683</v>
      </c>
      <c r="U27" s="13">
        <f t="shared" ref="U27:U36" si="5">U26+176</f>
        <v>1936</v>
      </c>
      <c r="V27" s="13">
        <f t="shared" si="0"/>
        <v>2068</v>
      </c>
      <c r="W27" s="13">
        <f t="shared" si="1"/>
        <v>2324</v>
      </c>
      <c r="X27" s="370">
        <f t="shared" si="2"/>
        <v>2408</v>
      </c>
    </row>
    <row r="28" spans="1:24">
      <c r="A28" s="8">
        <v>12</v>
      </c>
      <c r="B28" s="14">
        <v>1346</v>
      </c>
      <c r="C28" s="14">
        <v>1368</v>
      </c>
      <c r="D28" s="14">
        <v>1368</v>
      </c>
      <c r="E28" s="14">
        <v>1400</v>
      </c>
      <c r="F28" s="14">
        <v>1463</v>
      </c>
      <c r="G28" s="14">
        <v>1586</v>
      </c>
      <c r="H28" s="14">
        <v>1802</v>
      </c>
      <c r="I28" s="14">
        <v>1802</v>
      </c>
      <c r="J28" s="14">
        <v>1802</v>
      </c>
      <c r="K28" s="14">
        <v>1802</v>
      </c>
      <c r="L28" s="14">
        <v>1802</v>
      </c>
      <c r="M28" s="14">
        <v>1705</v>
      </c>
      <c r="N28" s="13">
        <v>1753</v>
      </c>
      <c r="O28" s="13">
        <v>1753</v>
      </c>
      <c r="P28" s="13">
        <v>1753</v>
      </c>
      <c r="Q28" s="13">
        <v>1729</v>
      </c>
      <c r="R28" s="13">
        <f t="shared" si="3"/>
        <v>1731</v>
      </c>
      <c r="S28" s="13">
        <f t="shared" si="4"/>
        <v>1748</v>
      </c>
      <c r="T28" s="13">
        <v>1836</v>
      </c>
      <c r="U28" s="13">
        <f t="shared" si="5"/>
        <v>2112</v>
      </c>
      <c r="V28" s="13">
        <f t="shared" si="0"/>
        <v>2256</v>
      </c>
      <c r="W28" s="13">
        <f t="shared" si="1"/>
        <v>2535</v>
      </c>
      <c r="X28" s="370">
        <f t="shared" si="2"/>
        <v>2627</v>
      </c>
    </row>
    <row r="29" spans="1:24">
      <c r="A29" s="8">
        <v>13</v>
      </c>
      <c r="B29" s="14">
        <v>1458</v>
      </c>
      <c r="C29" s="14">
        <v>1482</v>
      </c>
      <c r="D29" s="14">
        <v>1482</v>
      </c>
      <c r="E29" s="14">
        <v>1517</v>
      </c>
      <c r="F29" s="14">
        <v>1585</v>
      </c>
      <c r="G29" s="14">
        <v>1718</v>
      </c>
      <c r="H29" s="14">
        <v>1952</v>
      </c>
      <c r="I29" s="14">
        <v>1952</v>
      </c>
      <c r="J29" s="14">
        <v>1952</v>
      </c>
      <c r="K29" s="14">
        <v>1952</v>
      </c>
      <c r="L29" s="14">
        <v>1952</v>
      </c>
      <c r="M29" s="14">
        <v>1847</v>
      </c>
      <c r="N29" s="13">
        <v>1899</v>
      </c>
      <c r="O29" s="13">
        <v>1899</v>
      </c>
      <c r="P29" s="13">
        <v>1899</v>
      </c>
      <c r="Q29" s="13">
        <v>1873</v>
      </c>
      <c r="R29" s="13">
        <f t="shared" si="3"/>
        <v>1875</v>
      </c>
      <c r="S29" s="13">
        <f t="shared" si="4"/>
        <v>1894</v>
      </c>
      <c r="T29" s="13">
        <v>1989</v>
      </c>
      <c r="U29" s="13">
        <f t="shared" si="5"/>
        <v>2288</v>
      </c>
      <c r="V29" s="13">
        <f t="shared" si="0"/>
        <v>2444</v>
      </c>
      <c r="W29" s="13">
        <f t="shared" si="1"/>
        <v>2746</v>
      </c>
      <c r="X29" s="370">
        <f t="shared" si="2"/>
        <v>2846</v>
      </c>
    </row>
    <row r="30" spans="1:24">
      <c r="A30" s="8">
        <v>14</v>
      </c>
      <c r="B30" s="14">
        <v>1570</v>
      </c>
      <c r="C30" s="14">
        <v>1596</v>
      </c>
      <c r="D30" s="14">
        <v>1596</v>
      </c>
      <c r="E30" s="14">
        <v>1634</v>
      </c>
      <c r="F30" s="14">
        <v>1707</v>
      </c>
      <c r="G30" s="14">
        <v>1850</v>
      </c>
      <c r="H30" s="14">
        <v>2102</v>
      </c>
      <c r="I30" s="14">
        <v>2102</v>
      </c>
      <c r="J30" s="14">
        <v>2102</v>
      </c>
      <c r="K30" s="14">
        <v>2102</v>
      </c>
      <c r="L30" s="14">
        <v>2102</v>
      </c>
      <c r="M30" s="14">
        <v>1989</v>
      </c>
      <c r="N30" s="13">
        <v>2045</v>
      </c>
      <c r="O30" s="13">
        <v>2045</v>
      </c>
      <c r="P30" s="13">
        <v>2045</v>
      </c>
      <c r="Q30" s="13">
        <v>2017</v>
      </c>
      <c r="R30" s="13">
        <f t="shared" si="3"/>
        <v>2019</v>
      </c>
      <c r="S30" s="13">
        <f t="shared" si="4"/>
        <v>2040</v>
      </c>
      <c r="T30" s="13">
        <v>2142</v>
      </c>
      <c r="U30" s="13">
        <f t="shared" si="5"/>
        <v>2464</v>
      </c>
      <c r="V30" s="13">
        <f t="shared" si="0"/>
        <v>2632</v>
      </c>
      <c r="W30" s="13">
        <f t="shared" si="1"/>
        <v>2957</v>
      </c>
      <c r="X30" s="370">
        <f t="shared" si="2"/>
        <v>3065</v>
      </c>
    </row>
    <row r="31" spans="1:24">
      <c r="A31" s="8">
        <v>15</v>
      </c>
      <c r="B31" s="14">
        <v>1682</v>
      </c>
      <c r="C31" s="14">
        <v>1710</v>
      </c>
      <c r="D31" s="14">
        <v>1710</v>
      </c>
      <c r="E31" s="14">
        <v>1751</v>
      </c>
      <c r="F31" s="14">
        <v>1829</v>
      </c>
      <c r="G31" s="14">
        <v>1982</v>
      </c>
      <c r="H31" s="14">
        <v>2252</v>
      </c>
      <c r="I31" s="14">
        <v>2252</v>
      </c>
      <c r="J31" s="14">
        <v>2252</v>
      </c>
      <c r="K31" s="14">
        <v>2252</v>
      </c>
      <c r="L31" s="14">
        <v>2252</v>
      </c>
      <c r="M31" s="14">
        <v>2131</v>
      </c>
      <c r="N31" s="13">
        <v>2191</v>
      </c>
      <c r="O31" s="13">
        <v>2191</v>
      </c>
      <c r="P31" s="13">
        <v>2191</v>
      </c>
      <c r="Q31" s="13">
        <v>2161</v>
      </c>
      <c r="R31" s="13">
        <f t="shared" si="3"/>
        <v>2163</v>
      </c>
      <c r="S31" s="13">
        <f t="shared" si="4"/>
        <v>2186</v>
      </c>
      <c r="T31" s="13">
        <v>2295</v>
      </c>
      <c r="U31" s="13">
        <f t="shared" si="5"/>
        <v>2640</v>
      </c>
      <c r="V31" s="13">
        <f t="shared" si="0"/>
        <v>2820</v>
      </c>
      <c r="W31" s="13">
        <f t="shared" si="1"/>
        <v>3168</v>
      </c>
      <c r="X31" s="370">
        <f t="shared" si="2"/>
        <v>3284</v>
      </c>
    </row>
    <row r="32" spans="1:24">
      <c r="A32" s="8">
        <v>16</v>
      </c>
      <c r="B32" s="14">
        <v>1794</v>
      </c>
      <c r="C32" s="14">
        <v>1824</v>
      </c>
      <c r="D32" s="14">
        <v>1824</v>
      </c>
      <c r="E32" s="14">
        <v>1868</v>
      </c>
      <c r="F32" s="14">
        <v>1951</v>
      </c>
      <c r="G32" s="14">
        <v>2114</v>
      </c>
      <c r="H32" s="14">
        <v>2402</v>
      </c>
      <c r="I32" s="14">
        <v>2402</v>
      </c>
      <c r="J32" s="14">
        <v>2402</v>
      </c>
      <c r="K32" s="14">
        <v>2402</v>
      </c>
      <c r="L32" s="14">
        <v>2402</v>
      </c>
      <c r="M32" s="14">
        <v>2273</v>
      </c>
      <c r="N32" s="13">
        <v>2337</v>
      </c>
      <c r="O32" s="13">
        <v>2337</v>
      </c>
      <c r="P32" s="13">
        <v>2337</v>
      </c>
      <c r="Q32" s="13">
        <v>2305</v>
      </c>
      <c r="R32" s="13">
        <f t="shared" si="3"/>
        <v>2307</v>
      </c>
      <c r="S32" s="13">
        <f t="shared" si="4"/>
        <v>2332</v>
      </c>
      <c r="T32" s="13">
        <v>2448</v>
      </c>
      <c r="U32" s="13">
        <f t="shared" si="5"/>
        <v>2816</v>
      </c>
      <c r="V32" s="13">
        <f t="shared" si="0"/>
        <v>3008</v>
      </c>
      <c r="W32" s="13">
        <f t="shared" si="1"/>
        <v>3379</v>
      </c>
      <c r="X32" s="370">
        <f t="shared" si="2"/>
        <v>3503</v>
      </c>
    </row>
    <row r="33" spans="1:24">
      <c r="A33" s="8">
        <v>17</v>
      </c>
      <c r="B33" s="14">
        <v>1906</v>
      </c>
      <c r="C33" s="14">
        <v>1938</v>
      </c>
      <c r="D33" s="14">
        <v>1938</v>
      </c>
      <c r="E33" s="14">
        <v>1985</v>
      </c>
      <c r="F33" s="14">
        <v>2073</v>
      </c>
      <c r="G33" s="14">
        <v>2246</v>
      </c>
      <c r="H33" s="14">
        <v>2552</v>
      </c>
      <c r="I33" s="14">
        <v>2552</v>
      </c>
      <c r="J33" s="14">
        <v>2552</v>
      </c>
      <c r="K33" s="14">
        <v>2552</v>
      </c>
      <c r="L33" s="14">
        <v>2552</v>
      </c>
      <c r="M33" s="14">
        <v>2415</v>
      </c>
      <c r="N33" s="13">
        <v>2483</v>
      </c>
      <c r="O33" s="13">
        <v>2483</v>
      </c>
      <c r="P33" s="13">
        <v>2483</v>
      </c>
      <c r="Q33" s="13">
        <v>2449</v>
      </c>
      <c r="R33" s="13">
        <f t="shared" si="3"/>
        <v>2451</v>
      </c>
      <c r="S33" s="13">
        <f t="shared" si="4"/>
        <v>2478</v>
      </c>
      <c r="T33" s="13">
        <v>2601</v>
      </c>
      <c r="U33" s="13">
        <f t="shared" si="5"/>
        <v>2992</v>
      </c>
      <c r="V33" s="13">
        <f t="shared" si="0"/>
        <v>3196</v>
      </c>
      <c r="W33" s="13">
        <f t="shared" si="1"/>
        <v>3590</v>
      </c>
      <c r="X33" s="370">
        <f t="shared" si="2"/>
        <v>3722</v>
      </c>
    </row>
    <row r="34" spans="1:24">
      <c r="A34" s="8">
        <v>18</v>
      </c>
      <c r="B34" s="14">
        <v>2018</v>
      </c>
      <c r="C34" s="14">
        <v>2052</v>
      </c>
      <c r="D34" s="14">
        <v>2052</v>
      </c>
      <c r="E34" s="14">
        <v>2102</v>
      </c>
      <c r="F34" s="14">
        <v>2195</v>
      </c>
      <c r="G34" s="14">
        <v>2378</v>
      </c>
      <c r="H34" s="14">
        <v>2702</v>
      </c>
      <c r="I34" s="14">
        <v>2702</v>
      </c>
      <c r="J34" s="14">
        <v>2702</v>
      </c>
      <c r="K34" s="14">
        <v>2702</v>
      </c>
      <c r="L34" s="14">
        <v>2702</v>
      </c>
      <c r="M34" s="14">
        <v>2557</v>
      </c>
      <c r="N34" s="13">
        <v>2629</v>
      </c>
      <c r="O34" s="13">
        <v>2629</v>
      </c>
      <c r="P34" s="13">
        <v>2629</v>
      </c>
      <c r="Q34" s="13">
        <v>2593</v>
      </c>
      <c r="R34" s="13">
        <f t="shared" si="3"/>
        <v>2595</v>
      </c>
      <c r="S34" s="13">
        <f t="shared" si="4"/>
        <v>2624</v>
      </c>
      <c r="T34" s="13">
        <v>2754</v>
      </c>
      <c r="U34" s="13">
        <f t="shared" si="5"/>
        <v>3168</v>
      </c>
      <c r="V34" s="13">
        <f t="shared" si="0"/>
        <v>3384</v>
      </c>
      <c r="W34" s="13">
        <f t="shared" si="1"/>
        <v>3801</v>
      </c>
      <c r="X34" s="370">
        <f t="shared" si="2"/>
        <v>3941</v>
      </c>
    </row>
    <row r="35" spans="1:24">
      <c r="A35" s="8">
        <v>19</v>
      </c>
      <c r="B35" s="14">
        <v>2130</v>
      </c>
      <c r="C35" s="14">
        <v>2166</v>
      </c>
      <c r="D35" s="14">
        <v>2166</v>
      </c>
      <c r="E35" s="14">
        <v>2219</v>
      </c>
      <c r="F35" s="14">
        <v>2317</v>
      </c>
      <c r="G35" s="14">
        <v>2510</v>
      </c>
      <c r="H35" s="14">
        <v>2852</v>
      </c>
      <c r="I35" s="14">
        <v>2852</v>
      </c>
      <c r="J35" s="14">
        <v>2852</v>
      </c>
      <c r="K35" s="14">
        <v>2852</v>
      </c>
      <c r="L35" s="14">
        <v>2852</v>
      </c>
      <c r="M35" s="14">
        <v>2699</v>
      </c>
      <c r="N35" s="13">
        <v>2775</v>
      </c>
      <c r="O35" s="13">
        <v>2775</v>
      </c>
      <c r="P35" s="13">
        <v>2775</v>
      </c>
      <c r="Q35" s="13">
        <v>2737</v>
      </c>
      <c r="R35" s="13">
        <f t="shared" si="3"/>
        <v>2739</v>
      </c>
      <c r="S35" s="13">
        <f t="shared" si="4"/>
        <v>2770</v>
      </c>
      <c r="T35" s="13">
        <v>2907</v>
      </c>
      <c r="U35" s="13">
        <f t="shared" si="5"/>
        <v>3344</v>
      </c>
      <c r="V35" s="13">
        <f t="shared" si="0"/>
        <v>3572</v>
      </c>
      <c r="W35" s="13">
        <f t="shared" si="1"/>
        <v>4012</v>
      </c>
      <c r="X35" s="370">
        <f t="shared" si="2"/>
        <v>4160</v>
      </c>
    </row>
    <row r="36" spans="1:24">
      <c r="A36" s="8">
        <v>20</v>
      </c>
      <c r="B36" s="14">
        <v>2242</v>
      </c>
      <c r="C36" s="14">
        <v>2280</v>
      </c>
      <c r="D36" s="14">
        <v>2280</v>
      </c>
      <c r="E36" s="14">
        <v>2336</v>
      </c>
      <c r="F36" s="14">
        <v>2439</v>
      </c>
      <c r="G36" s="14">
        <v>2642</v>
      </c>
      <c r="H36" s="14">
        <v>3002</v>
      </c>
      <c r="I36" s="14">
        <v>3002</v>
      </c>
      <c r="J36" s="14">
        <v>3002</v>
      </c>
      <c r="K36" s="14">
        <v>3002</v>
      </c>
      <c r="L36" s="14">
        <v>3002</v>
      </c>
      <c r="M36" s="14">
        <v>2841</v>
      </c>
      <c r="N36" s="13">
        <v>2921</v>
      </c>
      <c r="O36" s="13">
        <v>2921</v>
      </c>
      <c r="P36" s="13">
        <v>2921</v>
      </c>
      <c r="Q36" s="13">
        <v>2881</v>
      </c>
      <c r="R36" s="13">
        <f t="shared" si="3"/>
        <v>2883</v>
      </c>
      <c r="S36" s="13">
        <f t="shared" si="4"/>
        <v>2916</v>
      </c>
      <c r="T36" s="13">
        <v>3060</v>
      </c>
      <c r="U36" s="13">
        <f t="shared" si="5"/>
        <v>3520</v>
      </c>
      <c r="V36" s="13">
        <f t="shared" si="0"/>
        <v>3760</v>
      </c>
      <c r="W36" s="13">
        <f t="shared" si="1"/>
        <v>4223</v>
      </c>
      <c r="X36" s="370">
        <f t="shared" si="2"/>
        <v>4379</v>
      </c>
    </row>
    <row r="37" spans="1:24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</row>
    <row r="38" spans="1:24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</row>
    <row r="39" spans="1:24">
      <c r="A39" s="371" t="s">
        <v>101</v>
      </c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</row>
    <row r="40" spans="1:24">
      <c r="A40" s="8" t="s">
        <v>43</v>
      </c>
      <c r="B40" s="319">
        <v>38261</v>
      </c>
      <c r="C40" s="310">
        <v>38626</v>
      </c>
      <c r="D40" s="310">
        <v>38934</v>
      </c>
      <c r="E40" s="310">
        <v>38991</v>
      </c>
      <c r="F40" s="310">
        <v>39356</v>
      </c>
      <c r="G40" s="310">
        <v>39722</v>
      </c>
      <c r="H40" s="310">
        <v>40087</v>
      </c>
      <c r="I40" s="310">
        <v>40452</v>
      </c>
      <c r="J40" s="310">
        <v>40817</v>
      </c>
      <c r="K40" s="310">
        <v>41183</v>
      </c>
      <c r="L40" s="310">
        <v>41548</v>
      </c>
      <c r="M40" s="310">
        <v>41579</v>
      </c>
      <c r="N40" s="310">
        <v>41913</v>
      </c>
      <c r="O40" s="503">
        <v>42278</v>
      </c>
      <c r="P40" s="320">
        <v>42644</v>
      </c>
      <c r="Q40" s="320">
        <v>43009</v>
      </c>
      <c r="R40" s="320">
        <v>43374</v>
      </c>
      <c r="S40" s="320">
        <v>43739</v>
      </c>
      <c r="T40" s="503">
        <v>44105</v>
      </c>
      <c r="U40" s="503">
        <v>44197</v>
      </c>
      <c r="V40" s="503">
        <v>44470</v>
      </c>
      <c r="W40" s="503">
        <v>44835</v>
      </c>
      <c r="X40" s="644">
        <v>45200</v>
      </c>
    </row>
    <row r="41" spans="1:24">
      <c r="A41" s="8">
        <v>1</v>
      </c>
      <c r="B41" s="14">
        <v>776</v>
      </c>
      <c r="C41" s="14">
        <v>798</v>
      </c>
      <c r="D41" s="14">
        <v>798</v>
      </c>
      <c r="E41" s="14">
        <v>817</v>
      </c>
      <c r="F41" s="14">
        <v>851</v>
      </c>
      <c r="G41" s="14">
        <v>867</v>
      </c>
      <c r="H41" s="14">
        <v>903</v>
      </c>
      <c r="I41" s="14">
        <v>903</v>
      </c>
      <c r="J41" s="14">
        <v>908</v>
      </c>
      <c r="K41" s="14">
        <v>931</v>
      </c>
      <c r="L41" s="14">
        <v>958</v>
      </c>
      <c r="M41" s="14">
        <v>958</v>
      </c>
      <c r="N41" s="13">
        <v>973</v>
      </c>
      <c r="O41" s="13">
        <v>981</v>
      </c>
      <c r="P41" s="13">
        <v>990</v>
      </c>
      <c r="Q41" s="13">
        <v>1005</v>
      </c>
      <c r="R41" s="13">
        <v>1012</v>
      </c>
      <c r="S41" s="13">
        <v>1041</v>
      </c>
      <c r="T41" s="13">
        <v>1064</v>
      </c>
      <c r="U41" s="13">
        <v>1064</v>
      </c>
      <c r="V41" s="13">
        <v>1074</v>
      </c>
      <c r="W41" s="13">
        <v>1133</v>
      </c>
      <c r="X41" s="669">
        <v>1215</v>
      </c>
    </row>
    <row r="42" spans="1:24">
      <c r="A42" s="8">
        <v>2</v>
      </c>
      <c r="B42" s="14">
        <v>1041</v>
      </c>
      <c r="C42" s="14">
        <v>1070</v>
      </c>
      <c r="D42" s="14">
        <v>1070</v>
      </c>
      <c r="E42" s="14">
        <v>1100</v>
      </c>
      <c r="F42" s="14">
        <v>1141</v>
      </c>
      <c r="G42" s="14">
        <v>1167</v>
      </c>
      <c r="H42" s="14">
        <v>1215</v>
      </c>
      <c r="I42" s="14">
        <v>1215</v>
      </c>
      <c r="J42" s="14">
        <v>1226</v>
      </c>
      <c r="K42" s="14">
        <v>1261</v>
      </c>
      <c r="L42" s="14">
        <v>1293</v>
      </c>
      <c r="M42" s="14">
        <v>1293</v>
      </c>
      <c r="N42" s="13">
        <v>1311</v>
      </c>
      <c r="O42" s="13">
        <v>1328</v>
      </c>
      <c r="P42" s="13">
        <v>1335</v>
      </c>
      <c r="Q42" s="13">
        <v>1354</v>
      </c>
      <c r="R42" s="13">
        <v>1372</v>
      </c>
      <c r="S42" s="13">
        <v>1410</v>
      </c>
      <c r="T42" s="13">
        <v>1437</v>
      </c>
      <c r="U42" s="13">
        <v>1437</v>
      </c>
      <c r="V42" s="13">
        <v>1452</v>
      </c>
      <c r="W42" s="13">
        <v>1526</v>
      </c>
      <c r="X42" s="669">
        <v>1644</v>
      </c>
    </row>
    <row r="43" spans="1:24">
      <c r="A43" s="8">
        <v>3</v>
      </c>
      <c r="B43" s="14">
        <v>1306</v>
      </c>
      <c r="C43" s="14">
        <v>1341</v>
      </c>
      <c r="D43" s="14">
        <v>1341</v>
      </c>
      <c r="E43" s="14">
        <v>1384</v>
      </c>
      <c r="F43" s="14">
        <v>1431</v>
      </c>
      <c r="G43" s="14">
        <v>1467</v>
      </c>
      <c r="H43" s="14">
        <v>1526</v>
      </c>
      <c r="I43" s="14">
        <v>1526</v>
      </c>
      <c r="J43" s="14">
        <v>1545</v>
      </c>
      <c r="K43" s="14">
        <v>1591</v>
      </c>
      <c r="L43" s="14">
        <v>1628</v>
      </c>
      <c r="M43" s="14">
        <v>1628</v>
      </c>
      <c r="N43" s="13">
        <v>1650</v>
      </c>
      <c r="O43" s="13">
        <v>1675</v>
      </c>
      <c r="P43" s="13">
        <v>1680</v>
      </c>
      <c r="Q43" s="13">
        <v>1702</v>
      </c>
      <c r="R43" s="13">
        <v>1732</v>
      </c>
      <c r="S43" s="13">
        <v>1778</v>
      </c>
      <c r="T43" s="13">
        <v>1810</v>
      </c>
      <c r="U43" s="13">
        <v>1810</v>
      </c>
      <c r="V43" s="13">
        <v>1830</v>
      </c>
      <c r="W43" s="13">
        <v>1920</v>
      </c>
      <c r="X43" s="669">
        <v>2072</v>
      </c>
    </row>
    <row r="44" spans="1:24">
      <c r="A44" s="8">
        <v>4</v>
      </c>
      <c r="B44" s="14">
        <v>1571</v>
      </c>
      <c r="C44" s="14">
        <v>1613</v>
      </c>
      <c r="D44" s="14">
        <v>1613</v>
      </c>
      <c r="E44" s="14">
        <v>1667</v>
      </c>
      <c r="F44" s="14">
        <v>1721</v>
      </c>
      <c r="G44" s="14">
        <v>1767</v>
      </c>
      <c r="H44" s="14">
        <v>1838</v>
      </c>
      <c r="I44" s="14">
        <v>1838</v>
      </c>
      <c r="J44" s="14">
        <v>1863</v>
      </c>
      <c r="K44" s="14">
        <v>1921</v>
      </c>
      <c r="L44" s="14">
        <v>1963</v>
      </c>
      <c r="M44" s="14">
        <v>1963</v>
      </c>
      <c r="N44" s="13">
        <v>1988</v>
      </c>
      <c r="O44" s="13">
        <v>2021</v>
      </c>
      <c r="P44" s="13">
        <v>2025</v>
      </c>
      <c r="Q44" s="13">
        <v>2050</v>
      </c>
      <c r="R44" s="13">
        <v>2092</v>
      </c>
      <c r="S44" s="13">
        <v>2146</v>
      </c>
      <c r="T44" s="13">
        <v>2184</v>
      </c>
      <c r="U44" s="13">
        <v>2184</v>
      </c>
      <c r="V44" s="13">
        <v>2209</v>
      </c>
      <c r="W44" s="13">
        <v>2313</v>
      </c>
      <c r="X44" s="669">
        <v>2500</v>
      </c>
    </row>
    <row r="45" spans="1:24">
      <c r="A45" s="8">
        <v>5</v>
      </c>
      <c r="B45" s="14">
        <v>1836</v>
      </c>
      <c r="C45" s="14">
        <v>1885</v>
      </c>
      <c r="D45" s="14">
        <v>1885</v>
      </c>
      <c r="E45" s="14">
        <v>1950</v>
      </c>
      <c r="F45" s="14">
        <v>2011</v>
      </c>
      <c r="G45" s="14">
        <v>2067</v>
      </c>
      <c r="H45" s="14">
        <v>2150</v>
      </c>
      <c r="I45" s="14">
        <v>2150</v>
      </c>
      <c r="J45" s="14">
        <v>2181</v>
      </c>
      <c r="K45" s="14">
        <v>2251</v>
      </c>
      <c r="L45" s="14">
        <v>2298</v>
      </c>
      <c r="M45" s="14">
        <v>2298</v>
      </c>
      <c r="N45" s="13">
        <v>2326</v>
      </c>
      <c r="O45" s="13">
        <v>2368</v>
      </c>
      <c r="P45" s="13">
        <v>2370</v>
      </c>
      <c r="Q45" s="13">
        <v>2399</v>
      </c>
      <c r="R45" s="13">
        <v>2452</v>
      </c>
      <c r="S45" s="13">
        <v>2515</v>
      </c>
      <c r="T45" s="13">
        <v>2557</v>
      </c>
      <c r="U45" s="13">
        <v>2557</v>
      </c>
      <c r="V45" s="13">
        <v>2587</v>
      </c>
      <c r="W45" s="13">
        <v>2706</v>
      </c>
      <c r="X45" s="669">
        <v>2929</v>
      </c>
    </row>
    <row r="46" spans="1:24">
      <c r="A46" s="8">
        <v>6</v>
      </c>
      <c r="B46" s="14">
        <v>2101</v>
      </c>
      <c r="C46" s="14">
        <v>2156</v>
      </c>
      <c r="D46" s="14">
        <v>2156</v>
      </c>
      <c r="E46" s="14">
        <v>2234</v>
      </c>
      <c r="F46" s="14">
        <v>2301</v>
      </c>
      <c r="G46" s="14">
        <v>2367</v>
      </c>
      <c r="H46" s="14">
        <v>2461</v>
      </c>
      <c r="I46" s="14">
        <v>2461</v>
      </c>
      <c r="J46" s="14">
        <v>2500</v>
      </c>
      <c r="K46" s="14">
        <v>2581</v>
      </c>
      <c r="L46" s="14">
        <v>2633</v>
      </c>
      <c r="M46" s="14">
        <v>2633</v>
      </c>
      <c r="N46" s="13">
        <v>2665</v>
      </c>
      <c r="O46" s="13">
        <v>2715</v>
      </c>
      <c r="P46" s="13">
        <v>2715</v>
      </c>
      <c r="Q46" s="13">
        <v>2747</v>
      </c>
      <c r="R46" s="13">
        <v>2812</v>
      </c>
      <c r="S46" s="13">
        <v>2883</v>
      </c>
      <c r="T46" s="13">
        <v>2930</v>
      </c>
      <c r="U46" s="13">
        <v>2930</v>
      </c>
      <c r="V46" s="13">
        <v>2965</v>
      </c>
      <c r="W46" s="13">
        <v>3100</v>
      </c>
      <c r="X46" s="669">
        <v>3357</v>
      </c>
    </row>
    <row r="47" spans="1:24">
      <c r="A47" s="8">
        <v>7</v>
      </c>
      <c r="B47" s="14">
        <v>2366</v>
      </c>
      <c r="C47" s="14">
        <v>2428</v>
      </c>
      <c r="D47" s="14">
        <v>2428</v>
      </c>
      <c r="E47" s="14">
        <v>2517</v>
      </c>
      <c r="F47" s="14">
        <v>2591</v>
      </c>
      <c r="G47" s="14">
        <v>2667</v>
      </c>
      <c r="H47" s="14">
        <v>2773</v>
      </c>
      <c r="I47" s="14">
        <v>2773</v>
      </c>
      <c r="J47" s="14">
        <v>2818</v>
      </c>
      <c r="K47" s="14">
        <v>2911</v>
      </c>
      <c r="L47" s="14">
        <v>2968</v>
      </c>
      <c r="M47" s="14">
        <v>2968</v>
      </c>
      <c r="N47" s="13">
        <v>3003</v>
      </c>
      <c r="O47" s="13">
        <v>3061</v>
      </c>
      <c r="P47" s="13">
        <v>3061</v>
      </c>
      <c r="Q47" s="13">
        <v>3095</v>
      </c>
      <c r="R47" s="13">
        <v>3172</v>
      </c>
      <c r="S47" s="13">
        <v>3251</v>
      </c>
      <c r="T47" s="13">
        <v>3304</v>
      </c>
      <c r="U47" s="13">
        <v>3304</v>
      </c>
      <c r="V47" s="13">
        <v>3344</v>
      </c>
      <c r="W47" s="13">
        <v>3493</v>
      </c>
      <c r="X47" s="669">
        <v>3785</v>
      </c>
    </row>
    <row r="48" spans="1:24">
      <c r="A48" s="8">
        <v>8</v>
      </c>
      <c r="B48" s="14">
        <v>2631</v>
      </c>
      <c r="C48" s="14">
        <v>2700</v>
      </c>
      <c r="D48" s="14">
        <v>2700</v>
      </c>
      <c r="E48" s="14">
        <v>2800</v>
      </c>
      <c r="F48" s="14">
        <v>2881</v>
      </c>
      <c r="G48" s="14">
        <v>2967</v>
      </c>
      <c r="H48" s="14">
        <v>3085</v>
      </c>
      <c r="I48" s="14">
        <v>3085</v>
      </c>
      <c r="J48" s="14">
        <v>3136</v>
      </c>
      <c r="K48" s="14">
        <v>3241</v>
      </c>
      <c r="L48" s="14">
        <v>3303</v>
      </c>
      <c r="M48" s="14">
        <v>3303</v>
      </c>
      <c r="N48" s="13">
        <v>3341</v>
      </c>
      <c r="O48" s="13">
        <v>3408</v>
      </c>
      <c r="P48" s="13">
        <v>3408</v>
      </c>
      <c r="Q48" s="13">
        <v>3444</v>
      </c>
      <c r="R48" s="13">
        <v>3532</v>
      </c>
      <c r="S48" s="13">
        <v>3620</v>
      </c>
      <c r="T48" s="13">
        <v>3677</v>
      </c>
      <c r="U48" s="13">
        <v>3677</v>
      </c>
      <c r="V48" s="13">
        <v>3722</v>
      </c>
      <c r="W48" s="13">
        <v>3886</v>
      </c>
      <c r="X48" s="669">
        <v>4214</v>
      </c>
    </row>
    <row r="49" spans="1:27">
      <c r="A49" s="8">
        <v>9</v>
      </c>
      <c r="B49" s="14">
        <v>2896</v>
      </c>
      <c r="C49" s="14">
        <v>2972</v>
      </c>
      <c r="D49" s="14">
        <v>2972</v>
      </c>
      <c r="E49" s="14">
        <v>3084</v>
      </c>
      <c r="F49" s="14">
        <v>3171</v>
      </c>
      <c r="G49" s="14">
        <v>3267</v>
      </c>
      <c r="H49" s="14">
        <v>3397</v>
      </c>
      <c r="I49" s="14">
        <v>3397</v>
      </c>
      <c r="J49" s="14">
        <v>3455</v>
      </c>
      <c r="K49" s="14">
        <v>3571</v>
      </c>
      <c r="L49" s="14">
        <v>3638</v>
      </c>
      <c r="M49" s="14">
        <v>3638</v>
      </c>
      <c r="N49" s="13">
        <f>N48+339</f>
        <v>3680</v>
      </c>
      <c r="O49" s="13">
        <f>O48+347</f>
        <v>3755</v>
      </c>
      <c r="P49" s="13">
        <f>P48+347</f>
        <v>3755</v>
      </c>
      <c r="Q49" s="13">
        <f>Q48+349</f>
        <v>3793</v>
      </c>
      <c r="R49" s="13">
        <f>R48+360</f>
        <v>3892</v>
      </c>
      <c r="S49" s="13">
        <f>S48+369</f>
        <v>3989</v>
      </c>
      <c r="T49" s="13">
        <v>4051</v>
      </c>
      <c r="U49" s="13">
        <v>4051</v>
      </c>
      <c r="V49" s="13">
        <f>V48+379</f>
        <v>4101</v>
      </c>
      <c r="W49" s="13">
        <f>W48+394</f>
        <v>4280</v>
      </c>
      <c r="X49" s="670">
        <f>X48+429</f>
        <v>4643</v>
      </c>
    </row>
    <row r="50" spans="1:27">
      <c r="A50" s="8">
        <v>10</v>
      </c>
      <c r="B50" s="14">
        <v>3161</v>
      </c>
      <c r="C50" s="14">
        <v>3244</v>
      </c>
      <c r="D50" s="14">
        <v>3244</v>
      </c>
      <c r="E50" s="14">
        <v>3368</v>
      </c>
      <c r="F50" s="14">
        <v>3461</v>
      </c>
      <c r="G50" s="14">
        <v>3567</v>
      </c>
      <c r="H50" s="14">
        <v>3709</v>
      </c>
      <c r="I50" s="14">
        <v>3709</v>
      </c>
      <c r="J50" s="14">
        <v>3774</v>
      </c>
      <c r="K50" s="14">
        <v>3901</v>
      </c>
      <c r="L50" s="14">
        <v>3973</v>
      </c>
      <c r="M50" s="14">
        <v>3973</v>
      </c>
      <c r="N50" s="13">
        <f t="shared" ref="N50:N60" si="6">N49+339</f>
        <v>4019</v>
      </c>
      <c r="O50" s="13">
        <f t="shared" ref="O50:P60" si="7">O49+347</f>
        <v>4102</v>
      </c>
      <c r="P50" s="13">
        <f>P49+347</f>
        <v>4102</v>
      </c>
      <c r="Q50" s="13">
        <f t="shared" ref="Q50:Q60" si="8">Q49+349</f>
        <v>4142</v>
      </c>
      <c r="R50" s="13">
        <f t="shared" ref="R50:R60" si="9">R49+360</f>
        <v>4252</v>
      </c>
      <c r="S50" s="13">
        <f>S49+369</f>
        <v>4358</v>
      </c>
      <c r="T50" s="13">
        <v>4425</v>
      </c>
      <c r="U50" s="13">
        <v>4425</v>
      </c>
      <c r="V50" s="13">
        <f t="shared" ref="V50:V60" si="10">V49+379</f>
        <v>4480</v>
      </c>
      <c r="W50" s="13">
        <f t="shared" ref="W50:W60" si="11">W49+394</f>
        <v>4674</v>
      </c>
      <c r="X50" s="670">
        <f t="shared" ref="X50:X60" si="12">X49+429</f>
        <v>5072</v>
      </c>
    </row>
    <row r="51" spans="1:27">
      <c r="A51" s="8">
        <v>11</v>
      </c>
      <c r="B51" s="14">
        <v>3426</v>
      </c>
      <c r="C51" s="14">
        <v>3516</v>
      </c>
      <c r="D51" s="14">
        <v>3516</v>
      </c>
      <c r="E51" s="14">
        <v>3652</v>
      </c>
      <c r="F51" s="14">
        <v>3751</v>
      </c>
      <c r="G51" s="14">
        <v>3867</v>
      </c>
      <c r="H51" s="14">
        <v>4021</v>
      </c>
      <c r="I51" s="14">
        <v>4021</v>
      </c>
      <c r="J51" s="14">
        <v>4093</v>
      </c>
      <c r="K51" s="14">
        <v>4231</v>
      </c>
      <c r="L51" s="14">
        <v>4308</v>
      </c>
      <c r="M51" s="14">
        <v>4308</v>
      </c>
      <c r="N51" s="13">
        <f t="shared" si="6"/>
        <v>4358</v>
      </c>
      <c r="O51" s="13">
        <f t="shared" si="7"/>
        <v>4449</v>
      </c>
      <c r="P51" s="13">
        <f>P50+347</f>
        <v>4449</v>
      </c>
      <c r="Q51" s="13">
        <f t="shared" si="8"/>
        <v>4491</v>
      </c>
      <c r="R51" s="13">
        <f t="shared" si="9"/>
        <v>4612</v>
      </c>
      <c r="S51" s="13">
        <f t="shared" ref="S51:S60" si="13">S50+369</f>
        <v>4727</v>
      </c>
      <c r="T51" s="13">
        <v>4799</v>
      </c>
      <c r="U51" s="13">
        <v>4799</v>
      </c>
      <c r="V51" s="13">
        <f t="shared" si="10"/>
        <v>4859</v>
      </c>
      <c r="W51" s="13">
        <f t="shared" si="11"/>
        <v>5068</v>
      </c>
      <c r="X51" s="670">
        <f t="shared" si="12"/>
        <v>5501</v>
      </c>
    </row>
    <row r="52" spans="1:27">
      <c r="A52" s="8">
        <v>12</v>
      </c>
      <c r="B52" s="14">
        <v>3691</v>
      </c>
      <c r="C52" s="14">
        <v>3788</v>
      </c>
      <c r="D52" s="14">
        <v>3788</v>
      </c>
      <c r="E52" s="14">
        <v>3936</v>
      </c>
      <c r="F52" s="14">
        <v>4041</v>
      </c>
      <c r="G52" s="14">
        <v>4167</v>
      </c>
      <c r="H52" s="14">
        <v>4333</v>
      </c>
      <c r="I52" s="14">
        <v>4333</v>
      </c>
      <c r="J52" s="14">
        <v>4412</v>
      </c>
      <c r="K52" s="14">
        <v>4561</v>
      </c>
      <c r="L52" s="14">
        <v>4643</v>
      </c>
      <c r="M52" s="14">
        <v>4643</v>
      </c>
      <c r="N52" s="13">
        <f t="shared" si="6"/>
        <v>4697</v>
      </c>
      <c r="O52" s="13">
        <f t="shared" si="7"/>
        <v>4796</v>
      </c>
      <c r="P52" s="13">
        <f t="shared" si="7"/>
        <v>4796</v>
      </c>
      <c r="Q52" s="13">
        <f t="shared" si="8"/>
        <v>4840</v>
      </c>
      <c r="R52" s="13">
        <f t="shared" si="9"/>
        <v>4972</v>
      </c>
      <c r="S52" s="13">
        <f t="shared" si="13"/>
        <v>5096</v>
      </c>
      <c r="T52" s="13">
        <v>5173</v>
      </c>
      <c r="U52" s="13">
        <v>5173</v>
      </c>
      <c r="V52" s="13">
        <f t="shared" si="10"/>
        <v>5238</v>
      </c>
      <c r="W52" s="13">
        <f t="shared" si="11"/>
        <v>5462</v>
      </c>
      <c r="X52" s="670">
        <f t="shared" si="12"/>
        <v>5930</v>
      </c>
    </row>
    <row r="53" spans="1:27">
      <c r="A53" s="8">
        <v>13</v>
      </c>
      <c r="B53" s="14">
        <v>3956</v>
      </c>
      <c r="C53" s="14">
        <v>4060</v>
      </c>
      <c r="D53" s="14">
        <v>4060</v>
      </c>
      <c r="E53" s="14">
        <v>4220</v>
      </c>
      <c r="F53" s="14">
        <v>4331</v>
      </c>
      <c r="G53" s="14">
        <v>4467</v>
      </c>
      <c r="H53" s="14">
        <v>4645</v>
      </c>
      <c r="I53" s="14">
        <v>4645</v>
      </c>
      <c r="J53" s="14">
        <v>4731</v>
      </c>
      <c r="K53" s="14">
        <v>4891</v>
      </c>
      <c r="L53" s="14">
        <v>4978</v>
      </c>
      <c r="M53" s="14">
        <v>4978</v>
      </c>
      <c r="N53" s="13">
        <f t="shared" si="6"/>
        <v>5036</v>
      </c>
      <c r="O53" s="13">
        <f t="shared" si="7"/>
        <v>5143</v>
      </c>
      <c r="P53" s="13">
        <f t="shared" si="7"/>
        <v>5143</v>
      </c>
      <c r="Q53" s="13">
        <f t="shared" si="8"/>
        <v>5189</v>
      </c>
      <c r="R53" s="13">
        <f t="shared" si="9"/>
        <v>5332</v>
      </c>
      <c r="S53" s="13">
        <f t="shared" si="13"/>
        <v>5465</v>
      </c>
      <c r="T53" s="13">
        <v>5547</v>
      </c>
      <c r="U53" s="13">
        <v>5547</v>
      </c>
      <c r="V53" s="13">
        <f t="shared" si="10"/>
        <v>5617</v>
      </c>
      <c r="W53" s="13">
        <f t="shared" si="11"/>
        <v>5856</v>
      </c>
      <c r="X53" s="670">
        <f t="shared" si="12"/>
        <v>6359</v>
      </c>
    </row>
    <row r="54" spans="1:27">
      <c r="A54" s="8">
        <v>14</v>
      </c>
      <c r="B54" s="14">
        <v>4221</v>
      </c>
      <c r="C54" s="14">
        <v>4332</v>
      </c>
      <c r="D54" s="14">
        <v>4332</v>
      </c>
      <c r="E54" s="14">
        <v>4504</v>
      </c>
      <c r="F54" s="14">
        <v>4621</v>
      </c>
      <c r="G54" s="14">
        <v>4767</v>
      </c>
      <c r="H54" s="14">
        <v>4957</v>
      </c>
      <c r="I54" s="14">
        <v>4957</v>
      </c>
      <c r="J54" s="14">
        <v>5050</v>
      </c>
      <c r="K54" s="14">
        <v>5221</v>
      </c>
      <c r="L54" s="14">
        <v>5313</v>
      </c>
      <c r="M54" s="14">
        <v>5313</v>
      </c>
      <c r="N54" s="13">
        <f t="shared" si="6"/>
        <v>5375</v>
      </c>
      <c r="O54" s="13">
        <f t="shared" si="7"/>
        <v>5490</v>
      </c>
      <c r="P54" s="13">
        <f t="shared" si="7"/>
        <v>5490</v>
      </c>
      <c r="Q54" s="13">
        <f t="shared" si="8"/>
        <v>5538</v>
      </c>
      <c r="R54" s="13">
        <f t="shared" si="9"/>
        <v>5692</v>
      </c>
      <c r="S54" s="13">
        <f t="shared" si="13"/>
        <v>5834</v>
      </c>
      <c r="T54" s="13">
        <v>5921</v>
      </c>
      <c r="U54" s="13">
        <v>5921</v>
      </c>
      <c r="V54" s="13">
        <f t="shared" si="10"/>
        <v>5996</v>
      </c>
      <c r="W54" s="13">
        <f t="shared" si="11"/>
        <v>6250</v>
      </c>
      <c r="X54" s="670">
        <f t="shared" si="12"/>
        <v>6788</v>
      </c>
    </row>
    <row r="55" spans="1:27">
      <c r="A55" s="8">
        <v>15</v>
      </c>
      <c r="B55" s="14">
        <v>4486</v>
      </c>
      <c r="C55" s="14">
        <v>4604</v>
      </c>
      <c r="D55" s="14">
        <v>4604</v>
      </c>
      <c r="E55" s="14">
        <v>4788</v>
      </c>
      <c r="F55" s="14">
        <v>4911</v>
      </c>
      <c r="G55" s="14">
        <v>5067</v>
      </c>
      <c r="H55" s="14">
        <v>5269</v>
      </c>
      <c r="I55" s="14">
        <v>5269</v>
      </c>
      <c r="J55" s="14">
        <v>5369</v>
      </c>
      <c r="K55" s="14">
        <v>5551</v>
      </c>
      <c r="L55" s="14">
        <v>5648</v>
      </c>
      <c r="M55" s="14">
        <v>5648</v>
      </c>
      <c r="N55" s="13">
        <f t="shared" si="6"/>
        <v>5714</v>
      </c>
      <c r="O55" s="13">
        <f t="shared" si="7"/>
        <v>5837</v>
      </c>
      <c r="P55" s="13">
        <f t="shared" si="7"/>
        <v>5837</v>
      </c>
      <c r="Q55" s="13">
        <f t="shared" si="8"/>
        <v>5887</v>
      </c>
      <c r="R55" s="13">
        <f t="shared" si="9"/>
        <v>6052</v>
      </c>
      <c r="S55" s="13">
        <f t="shared" si="13"/>
        <v>6203</v>
      </c>
      <c r="T55" s="13">
        <v>6295</v>
      </c>
      <c r="U55" s="13">
        <v>6295</v>
      </c>
      <c r="V55" s="13">
        <f t="shared" si="10"/>
        <v>6375</v>
      </c>
      <c r="W55" s="13">
        <f t="shared" si="11"/>
        <v>6644</v>
      </c>
      <c r="X55" s="670">
        <f t="shared" si="12"/>
        <v>7217</v>
      </c>
    </row>
    <row r="56" spans="1:27">
      <c r="A56" s="8">
        <v>16</v>
      </c>
      <c r="B56" s="14">
        <v>4751</v>
      </c>
      <c r="C56" s="14">
        <v>4876</v>
      </c>
      <c r="D56" s="14">
        <v>4876</v>
      </c>
      <c r="E56" s="14">
        <v>5072</v>
      </c>
      <c r="F56" s="14">
        <v>5201</v>
      </c>
      <c r="G56" s="14">
        <v>5367</v>
      </c>
      <c r="H56" s="14">
        <v>5581</v>
      </c>
      <c r="I56" s="14">
        <v>5581</v>
      </c>
      <c r="J56" s="14">
        <v>5688</v>
      </c>
      <c r="K56" s="14">
        <v>5881</v>
      </c>
      <c r="L56" s="14">
        <v>5983</v>
      </c>
      <c r="M56" s="14">
        <v>5983</v>
      </c>
      <c r="N56" s="13">
        <f t="shared" si="6"/>
        <v>6053</v>
      </c>
      <c r="O56" s="13">
        <f t="shared" si="7"/>
        <v>6184</v>
      </c>
      <c r="P56" s="13">
        <f t="shared" si="7"/>
        <v>6184</v>
      </c>
      <c r="Q56" s="13">
        <f t="shared" si="8"/>
        <v>6236</v>
      </c>
      <c r="R56" s="13">
        <f t="shared" si="9"/>
        <v>6412</v>
      </c>
      <c r="S56" s="13">
        <f t="shared" si="13"/>
        <v>6572</v>
      </c>
      <c r="T56" s="13">
        <v>6669</v>
      </c>
      <c r="U56" s="13">
        <v>6669</v>
      </c>
      <c r="V56" s="13">
        <f t="shared" si="10"/>
        <v>6754</v>
      </c>
      <c r="W56" s="13">
        <f t="shared" si="11"/>
        <v>7038</v>
      </c>
      <c r="X56" s="670">
        <f t="shared" si="12"/>
        <v>7646</v>
      </c>
    </row>
    <row r="57" spans="1:27">
      <c r="A57" s="8">
        <v>17</v>
      </c>
      <c r="B57" s="14">
        <v>5016</v>
      </c>
      <c r="C57" s="14">
        <v>5148</v>
      </c>
      <c r="D57" s="14">
        <v>5148</v>
      </c>
      <c r="E57" s="14">
        <v>5356</v>
      </c>
      <c r="F57" s="14">
        <v>5491</v>
      </c>
      <c r="G57" s="14">
        <v>5667</v>
      </c>
      <c r="H57" s="14">
        <v>5893</v>
      </c>
      <c r="I57" s="14">
        <v>5893</v>
      </c>
      <c r="J57" s="14">
        <v>6007</v>
      </c>
      <c r="K57" s="14">
        <v>6211</v>
      </c>
      <c r="L57" s="14">
        <v>6318</v>
      </c>
      <c r="M57" s="14">
        <v>6318</v>
      </c>
      <c r="N57" s="13">
        <f t="shared" si="6"/>
        <v>6392</v>
      </c>
      <c r="O57" s="13">
        <f t="shared" si="7"/>
        <v>6531</v>
      </c>
      <c r="P57" s="13">
        <f t="shared" si="7"/>
        <v>6531</v>
      </c>
      <c r="Q57" s="13">
        <f t="shared" si="8"/>
        <v>6585</v>
      </c>
      <c r="R57" s="13">
        <f t="shared" si="9"/>
        <v>6772</v>
      </c>
      <c r="S57" s="13">
        <f t="shared" si="13"/>
        <v>6941</v>
      </c>
      <c r="T57" s="13">
        <v>7043</v>
      </c>
      <c r="U57" s="13">
        <v>7043</v>
      </c>
      <c r="V57" s="13">
        <f t="shared" si="10"/>
        <v>7133</v>
      </c>
      <c r="W57" s="13">
        <f t="shared" si="11"/>
        <v>7432</v>
      </c>
      <c r="X57" s="670">
        <f t="shared" si="12"/>
        <v>8075</v>
      </c>
    </row>
    <row r="58" spans="1:27">
      <c r="A58" s="8">
        <v>18</v>
      </c>
      <c r="B58" s="14">
        <v>5281</v>
      </c>
      <c r="C58" s="14">
        <v>5420</v>
      </c>
      <c r="D58" s="14">
        <v>5420</v>
      </c>
      <c r="E58" s="14">
        <v>5640</v>
      </c>
      <c r="F58" s="14">
        <v>5781</v>
      </c>
      <c r="G58" s="14">
        <v>5967</v>
      </c>
      <c r="H58" s="14">
        <v>6205</v>
      </c>
      <c r="I58" s="14">
        <v>6205</v>
      </c>
      <c r="J58" s="14">
        <v>6326</v>
      </c>
      <c r="K58" s="14">
        <v>6541</v>
      </c>
      <c r="L58" s="14">
        <v>6653</v>
      </c>
      <c r="M58" s="14">
        <v>6653</v>
      </c>
      <c r="N58" s="13">
        <f t="shared" si="6"/>
        <v>6731</v>
      </c>
      <c r="O58" s="13">
        <f t="shared" si="7"/>
        <v>6878</v>
      </c>
      <c r="P58" s="13">
        <f t="shared" si="7"/>
        <v>6878</v>
      </c>
      <c r="Q58" s="13">
        <f t="shared" si="8"/>
        <v>6934</v>
      </c>
      <c r="R58" s="13">
        <f t="shared" si="9"/>
        <v>7132</v>
      </c>
      <c r="S58" s="13">
        <f t="shared" si="13"/>
        <v>7310</v>
      </c>
      <c r="T58" s="13">
        <v>7417</v>
      </c>
      <c r="U58" s="13">
        <v>7417</v>
      </c>
      <c r="V58" s="13">
        <f t="shared" si="10"/>
        <v>7512</v>
      </c>
      <c r="W58" s="13">
        <f t="shared" si="11"/>
        <v>7826</v>
      </c>
      <c r="X58" s="670">
        <f t="shared" si="12"/>
        <v>8504</v>
      </c>
    </row>
    <row r="59" spans="1:27">
      <c r="A59" s="8">
        <v>19</v>
      </c>
      <c r="B59" s="14">
        <v>5546</v>
      </c>
      <c r="C59" s="14">
        <v>5692</v>
      </c>
      <c r="D59" s="14">
        <v>5692</v>
      </c>
      <c r="E59" s="14">
        <v>5924</v>
      </c>
      <c r="F59" s="14">
        <v>6071</v>
      </c>
      <c r="G59" s="14">
        <v>6267</v>
      </c>
      <c r="H59" s="14">
        <v>6517</v>
      </c>
      <c r="I59" s="14">
        <v>6517</v>
      </c>
      <c r="J59" s="14">
        <v>6645</v>
      </c>
      <c r="K59" s="14">
        <v>6871</v>
      </c>
      <c r="L59" s="14">
        <v>6988</v>
      </c>
      <c r="M59" s="14">
        <v>6988</v>
      </c>
      <c r="N59" s="13">
        <f t="shared" si="6"/>
        <v>7070</v>
      </c>
      <c r="O59" s="13">
        <f t="shared" si="7"/>
        <v>7225</v>
      </c>
      <c r="P59" s="13">
        <f t="shared" si="7"/>
        <v>7225</v>
      </c>
      <c r="Q59" s="13">
        <f t="shared" si="8"/>
        <v>7283</v>
      </c>
      <c r="R59" s="13">
        <f t="shared" si="9"/>
        <v>7492</v>
      </c>
      <c r="S59" s="13">
        <f t="shared" si="13"/>
        <v>7679</v>
      </c>
      <c r="T59" s="13">
        <v>7791</v>
      </c>
      <c r="U59" s="13">
        <v>7791</v>
      </c>
      <c r="V59" s="13">
        <f t="shared" si="10"/>
        <v>7891</v>
      </c>
      <c r="W59" s="13">
        <f t="shared" si="11"/>
        <v>8220</v>
      </c>
      <c r="X59" s="670">
        <f t="shared" si="12"/>
        <v>8933</v>
      </c>
    </row>
    <row r="60" spans="1:27">
      <c r="A60" s="8">
        <v>20</v>
      </c>
      <c r="B60" s="14">
        <v>5811</v>
      </c>
      <c r="C60" s="14">
        <v>5964</v>
      </c>
      <c r="D60" s="14">
        <v>5964</v>
      </c>
      <c r="E60" s="14">
        <v>6208</v>
      </c>
      <c r="F60" s="14">
        <v>6361</v>
      </c>
      <c r="G60" s="14">
        <v>6567</v>
      </c>
      <c r="H60" s="14">
        <v>6829</v>
      </c>
      <c r="I60" s="14">
        <v>6829</v>
      </c>
      <c r="J60" s="14">
        <v>6964</v>
      </c>
      <c r="K60" s="14">
        <v>7201</v>
      </c>
      <c r="L60" s="14">
        <v>7323</v>
      </c>
      <c r="M60" s="14">
        <v>7323</v>
      </c>
      <c r="N60" s="13">
        <f t="shared" si="6"/>
        <v>7409</v>
      </c>
      <c r="O60" s="13">
        <f t="shared" si="7"/>
        <v>7572</v>
      </c>
      <c r="P60" s="13">
        <f t="shared" si="7"/>
        <v>7572</v>
      </c>
      <c r="Q60" s="13">
        <f t="shared" si="8"/>
        <v>7632</v>
      </c>
      <c r="R60" s="13">
        <f t="shared" si="9"/>
        <v>7852</v>
      </c>
      <c r="S60" s="13">
        <f t="shared" si="13"/>
        <v>8048</v>
      </c>
      <c r="T60" s="13">
        <v>8165</v>
      </c>
      <c r="U60" s="13">
        <v>8165</v>
      </c>
      <c r="V60" s="13">
        <f t="shared" si="10"/>
        <v>8270</v>
      </c>
      <c r="W60" s="13">
        <f t="shared" si="11"/>
        <v>8614</v>
      </c>
      <c r="X60" s="670">
        <f t="shared" si="12"/>
        <v>9362</v>
      </c>
    </row>
    <row r="61" spans="1:27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</row>
    <row r="62" spans="1:27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66"/>
    </row>
    <row r="63" spans="1:27">
      <c r="A63" s="371" t="s">
        <v>263</v>
      </c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AA63" s="366"/>
    </row>
    <row r="64" spans="1:27">
      <c r="A64" s="8" t="s">
        <v>43</v>
      </c>
      <c r="B64" s="319">
        <v>38261</v>
      </c>
      <c r="C64" s="310">
        <v>38626</v>
      </c>
      <c r="D64" s="310">
        <v>38934</v>
      </c>
      <c r="E64" s="310">
        <v>38991</v>
      </c>
      <c r="F64" s="310">
        <v>39356</v>
      </c>
      <c r="G64" s="310">
        <v>39722</v>
      </c>
      <c r="H64" s="310">
        <v>40087</v>
      </c>
      <c r="I64" s="310">
        <v>40452</v>
      </c>
      <c r="J64" s="310">
        <v>40817</v>
      </c>
      <c r="K64" s="310">
        <v>41183</v>
      </c>
      <c r="L64" s="310">
        <v>41548</v>
      </c>
      <c r="M64" s="310">
        <v>41579</v>
      </c>
      <c r="N64" s="320">
        <v>41913</v>
      </c>
      <c r="O64" s="320">
        <v>42278</v>
      </c>
      <c r="P64" s="320">
        <v>42644</v>
      </c>
      <c r="Q64" s="320">
        <v>43009</v>
      </c>
      <c r="R64" s="320">
        <v>43374</v>
      </c>
      <c r="S64" s="320">
        <v>43739</v>
      </c>
      <c r="T64" s="503">
        <v>44105</v>
      </c>
      <c r="U64" s="503">
        <v>44197</v>
      </c>
      <c r="V64" s="503">
        <v>44470</v>
      </c>
      <c r="W64" s="503">
        <v>44835</v>
      </c>
      <c r="X64" s="666">
        <v>45200</v>
      </c>
    </row>
    <row r="65" spans="1:24">
      <c r="A65" s="8">
        <v>1</v>
      </c>
      <c r="B65" s="14">
        <v>1009</v>
      </c>
      <c r="C65" s="14">
        <v>1037</v>
      </c>
      <c r="D65" s="14">
        <v>1037</v>
      </c>
      <c r="E65" s="14">
        <v>1062</v>
      </c>
      <c r="F65" s="14">
        <v>1107</v>
      </c>
      <c r="G65" s="14">
        <v>1127</v>
      </c>
      <c r="H65" s="14">
        <v>1174</v>
      </c>
      <c r="I65" s="14">
        <v>1174</v>
      </c>
      <c r="J65" s="14">
        <v>1180</v>
      </c>
      <c r="K65" s="14">
        <v>1211</v>
      </c>
      <c r="L65" s="14">
        <v>1245</v>
      </c>
      <c r="M65" s="14">
        <v>1245</v>
      </c>
      <c r="N65" s="13">
        <v>1946</v>
      </c>
      <c r="O65" s="13">
        <v>1962</v>
      </c>
      <c r="P65" s="370">
        <v>1980</v>
      </c>
      <c r="Q65" s="13">
        <v>2010</v>
      </c>
      <c r="R65" s="13">
        <v>2024</v>
      </c>
      <c r="S65" s="13">
        <v>2082</v>
      </c>
      <c r="T65" s="13">
        <v>2128</v>
      </c>
      <c r="U65" s="13">
        <v>2128</v>
      </c>
      <c r="V65" s="13">
        <v>2148</v>
      </c>
      <c r="W65" s="13">
        <v>2266</v>
      </c>
      <c r="X65" s="670">
        <v>2430</v>
      </c>
    </row>
    <row r="66" spans="1:24">
      <c r="A66" s="326">
        <v>2</v>
      </c>
      <c r="B66" s="14">
        <v>1354</v>
      </c>
      <c r="C66" s="14">
        <v>1390</v>
      </c>
      <c r="D66" s="14">
        <v>1390</v>
      </c>
      <c r="E66" s="14">
        <v>1430</v>
      </c>
      <c r="F66" s="14">
        <v>1484</v>
      </c>
      <c r="G66" s="14">
        <v>1517</v>
      </c>
      <c r="H66" s="14">
        <v>1579</v>
      </c>
      <c r="I66" s="14">
        <v>1579</v>
      </c>
      <c r="J66" s="14">
        <v>1594</v>
      </c>
      <c r="K66" s="14">
        <v>1640</v>
      </c>
      <c r="L66" s="14">
        <v>1681</v>
      </c>
      <c r="M66" s="14">
        <v>1681</v>
      </c>
      <c r="N66" s="13">
        <v>2622</v>
      </c>
      <c r="O66" s="13">
        <v>2656</v>
      </c>
      <c r="P66" s="370">
        <v>2670</v>
      </c>
      <c r="Q66" s="13">
        <v>2708</v>
      </c>
      <c r="R66" s="13">
        <v>2744</v>
      </c>
      <c r="S66" s="13">
        <v>2820</v>
      </c>
      <c r="T66" s="13">
        <v>2874</v>
      </c>
      <c r="U66" s="13">
        <v>2874</v>
      </c>
      <c r="V66" s="13">
        <v>2904</v>
      </c>
      <c r="W66" s="13">
        <v>3052</v>
      </c>
      <c r="X66" s="670">
        <v>3288</v>
      </c>
    </row>
    <row r="67" spans="1:24">
      <c r="A67" s="8">
        <v>3</v>
      </c>
      <c r="B67" s="14">
        <v>1698</v>
      </c>
      <c r="C67" s="14">
        <v>1744</v>
      </c>
      <c r="D67" s="14">
        <v>1744</v>
      </c>
      <c r="E67" s="14">
        <v>1799</v>
      </c>
      <c r="F67" s="14">
        <v>1861</v>
      </c>
      <c r="G67" s="14">
        <v>1907</v>
      </c>
      <c r="H67" s="14">
        <v>1984</v>
      </c>
      <c r="I67" s="14">
        <v>1984</v>
      </c>
      <c r="J67" s="14">
        <v>2008</v>
      </c>
      <c r="K67" s="14">
        <v>2069</v>
      </c>
      <c r="L67" s="14">
        <v>2116</v>
      </c>
      <c r="M67" s="14">
        <v>2116</v>
      </c>
      <c r="N67" s="13">
        <v>3300</v>
      </c>
      <c r="O67" s="13">
        <v>3350</v>
      </c>
      <c r="P67" s="370">
        <v>3360</v>
      </c>
      <c r="Q67" s="13">
        <v>3404</v>
      </c>
      <c r="R67" s="13">
        <v>3464</v>
      </c>
      <c r="S67" s="13">
        <v>3556</v>
      </c>
      <c r="T67" s="13">
        <v>3620</v>
      </c>
      <c r="U67" s="13">
        <v>3620</v>
      </c>
      <c r="V67" s="13">
        <v>3660</v>
      </c>
      <c r="W67" s="13">
        <v>3840</v>
      </c>
      <c r="X67" s="670">
        <v>4144</v>
      </c>
    </row>
    <row r="68" spans="1:24">
      <c r="A68" s="8">
        <v>4</v>
      </c>
      <c r="B68" s="14">
        <v>2043</v>
      </c>
      <c r="C68" s="14">
        <v>2097</v>
      </c>
      <c r="D68" s="14">
        <v>2097</v>
      </c>
      <c r="E68" s="14">
        <v>2167</v>
      </c>
      <c r="F68" s="14">
        <v>2238</v>
      </c>
      <c r="G68" s="14">
        <v>2297</v>
      </c>
      <c r="H68" s="14">
        <v>2389</v>
      </c>
      <c r="I68" s="14">
        <v>2389</v>
      </c>
      <c r="J68" s="14">
        <v>2422</v>
      </c>
      <c r="K68" s="14">
        <v>2498</v>
      </c>
      <c r="L68" s="14">
        <v>2551</v>
      </c>
      <c r="M68" s="14">
        <v>2551</v>
      </c>
      <c r="N68" s="13">
        <v>3976</v>
      </c>
      <c r="O68" s="13">
        <v>4042</v>
      </c>
      <c r="P68" s="370">
        <v>4050</v>
      </c>
      <c r="Q68" s="13">
        <v>4100</v>
      </c>
      <c r="R68" s="13">
        <v>4184</v>
      </c>
      <c r="S68" s="13">
        <v>4292</v>
      </c>
      <c r="T68" s="13">
        <v>4368</v>
      </c>
      <c r="U68" s="13">
        <v>4368</v>
      </c>
      <c r="V68" s="13">
        <v>4418</v>
      </c>
      <c r="W68" s="13">
        <v>4626</v>
      </c>
      <c r="X68" s="670">
        <v>5000</v>
      </c>
    </row>
    <row r="69" spans="1:24">
      <c r="A69" s="8">
        <v>5</v>
      </c>
      <c r="B69" s="14">
        <v>2387</v>
      </c>
      <c r="C69" s="14">
        <v>2450</v>
      </c>
      <c r="D69" s="14">
        <v>2450</v>
      </c>
      <c r="E69" s="14">
        <v>2535</v>
      </c>
      <c r="F69" s="14">
        <v>2615</v>
      </c>
      <c r="G69" s="14">
        <v>2687</v>
      </c>
      <c r="H69" s="14">
        <v>2794</v>
      </c>
      <c r="I69" s="14">
        <v>2794</v>
      </c>
      <c r="J69" s="14">
        <v>2836</v>
      </c>
      <c r="K69" s="14">
        <v>2927</v>
      </c>
      <c r="L69" s="14">
        <v>2986</v>
      </c>
      <c r="M69" s="14">
        <v>2986</v>
      </c>
      <c r="N69" s="13">
        <v>4652</v>
      </c>
      <c r="O69" s="13">
        <v>4736</v>
      </c>
      <c r="P69" s="370">
        <v>4740</v>
      </c>
      <c r="Q69" s="13">
        <v>4798</v>
      </c>
      <c r="R69" s="13">
        <v>4904</v>
      </c>
      <c r="S69" s="13">
        <v>5030</v>
      </c>
      <c r="T69" s="13">
        <v>5114</v>
      </c>
      <c r="U69" s="13">
        <v>5114</v>
      </c>
      <c r="V69" s="13">
        <v>5174</v>
      </c>
      <c r="W69" s="13">
        <v>5412</v>
      </c>
      <c r="X69" s="670">
        <v>5858</v>
      </c>
    </row>
    <row r="70" spans="1:24">
      <c r="A70" s="8">
        <v>6</v>
      </c>
      <c r="B70" s="14">
        <v>2732</v>
      </c>
      <c r="C70" s="14">
        <v>2803</v>
      </c>
      <c r="D70" s="14">
        <v>2803</v>
      </c>
      <c r="E70" s="14">
        <v>2904</v>
      </c>
      <c r="F70" s="14">
        <v>2992</v>
      </c>
      <c r="G70" s="14">
        <v>3077</v>
      </c>
      <c r="H70" s="14">
        <v>3200</v>
      </c>
      <c r="I70" s="14">
        <v>3200</v>
      </c>
      <c r="J70" s="14">
        <v>3249</v>
      </c>
      <c r="K70" s="14">
        <v>3356</v>
      </c>
      <c r="L70" s="14">
        <v>3421</v>
      </c>
      <c r="M70" s="14">
        <v>3421</v>
      </c>
      <c r="N70" s="13">
        <v>5330</v>
      </c>
      <c r="O70" s="13">
        <v>5430</v>
      </c>
      <c r="P70" s="13">
        <v>5430</v>
      </c>
      <c r="Q70" s="13">
        <v>5494</v>
      </c>
      <c r="R70" s="13">
        <v>5624</v>
      </c>
      <c r="S70" s="13">
        <v>5766</v>
      </c>
      <c r="T70" s="13">
        <v>5860</v>
      </c>
      <c r="U70" s="13">
        <v>5860</v>
      </c>
      <c r="V70" s="13">
        <v>5930</v>
      </c>
      <c r="W70" s="13">
        <v>6200</v>
      </c>
      <c r="X70" s="670">
        <v>6714</v>
      </c>
    </row>
    <row r="71" spans="1:24">
      <c r="A71" s="8">
        <v>7</v>
      </c>
      <c r="B71" s="14">
        <v>3076</v>
      </c>
      <c r="C71" s="14">
        <v>3156</v>
      </c>
      <c r="D71" s="14">
        <v>3156</v>
      </c>
      <c r="E71" s="14">
        <v>3272</v>
      </c>
      <c r="F71" s="14">
        <v>3369</v>
      </c>
      <c r="G71" s="14">
        <v>3467</v>
      </c>
      <c r="H71" s="14">
        <v>3605</v>
      </c>
      <c r="I71" s="14">
        <v>3605</v>
      </c>
      <c r="J71" s="14">
        <v>3663</v>
      </c>
      <c r="K71" s="14">
        <v>3785</v>
      </c>
      <c r="L71" s="14">
        <v>3856</v>
      </c>
      <c r="M71" s="14">
        <v>3856</v>
      </c>
      <c r="N71" s="13">
        <v>6006</v>
      </c>
      <c r="O71" s="13">
        <v>6122</v>
      </c>
      <c r="P71" s="13">
        <v>6122</v>
      </c>
      <c r="Q71" s="13">
        <v>6190</v>
      </c>
      <c r="R71" s="13">
        <v>6344</v>
      </c>
      <c r="S71" s="13">
        <v>6502</v>
      </c>
      <c r="T71" s="13">
        <v>6608</v>
      </c>
      <c r="U71" s="13">
        <v>6608</v>
      </c>
      <c r="V71" s="13">
        <v>6688</v>
      </c>
      <c r="W71" s="13">
        <v>6986</v>
      </c>
      <c r="X71" s="670">
        <v>7570</v>
      </c>
    </row>
    <row r="72" spans="1:24">
      <c r="A72" s="8">
        <v>8</v>
      </c>
      <c r="B72" s="14">
        <v>3421</v>
      </c>
      <c r="C72" s="14">
        <v>3509</v>
      </c>
      <c r="D72" s="14">
        <v>3509</v>
      </c>
      <c r="E72" s="14">
        <v>3640</v>
      </c>
      <c r="F72" s="14">
        <v>3746</v>
      </c>
      <c r="G72" s="14">
        <v>3857</v>
      </c>
      <c r="H72" s="14">
        <v>4010</v>
      </c>
      <c r="I72" s="14">
        <v>4010</v>
      </c>
      <c r="J72" s="14">
        <v>4077</v>
      </c>
      <c r="K72" s="14">
        <v>4214</v>
      </c>
      <c r="L72" s="14">
        <v>4291</v>
      </c>
      <c r="M72" s="14">
        <v>4291</v>
      </c>
      <c r="N72" s="13">
        <v>6682</v>
      </c>
      <c r="O72" s="13">
        <v>6816</v>
      </c>
      <c r="P72" s="13">
        <v>6816</v>
      </c>
      <c r="Q72" s="13">
        <v>6888</v>
      </c>
      <c r="R72" s="13">
        <v>7064</v>
      </c>
      <c r="S72" s="13">
        <v>7240</v>
      </c>
      <c r="T72" s="13">
        <v>7354</v>
      </c>
      <c r="U72" s="13">
        <v>7354</v>
      </c>
      <c r="V72" s="13">
        <v>7444</v>
      </c>
      <c r="W72" s="13">
        <v>7772</v>
      </c>
      <c r="X72" s="670">
        <v>8428</v>
      </c>
    </row>
    <row r="73" spans="1:24">
      <c r="A73" s="8">
        <v>9</v>
      </c>
      <c r="B73" s="14">
        <v>3766</v>
      </c>
      <c r="C73" s="14">
        <v>3863</v>
      </c>
      <c r="D73" s="14">
        <v>3863</v>
      </c>
      <c r="E73" s="14">
        <v>4009</v>
      </c>
      <c r="F73" s="14">
        <v>4123</v>
      </c>
      <c r="G73" s="14">
        <v>4247</v>
      </c>
      <c r="H73" s="14">
        <v>4416</v>
      </c>
      <c r="I73" s="14">
        <v>4416</v>
      </c>
      <c r="J73" s="14">
        <v>4491</v>
      </c>
      <c r="K73" s="14">
        <v>4643</v>
      </c>
      <c r="L73" s="14">
        <v>4726</v>
      </c>
      <c r="M73" s="14">
        <v>4726</v>
      </c>
      <c r="N73" s="13">
        <f>N72+678</f>
        <v>7360</v>
      </c>
      <c r="O73" s="13">
        <f>O72+694</f>
        <v>7510</v>
      </c>
      <c r="P73" s="13">
        <f>P72+694</f>
        <v>7510</v>
      </c>
      <c r="Q73" s="13">
        <f>Q72+698</f>
        <v>7586</v>
      </c>
      <c r="R73" s="13">
        <f>R72+720</f>
        <v>7784</v>
      </c>
      <c r="S73" s="13">
        <f>S72+738</f>
        <v>7978</v>
      </c>
      <c r="T73" s="13">
        <v>8102</v>
      </c>
      <c r="U73" s="13">
        <v>8102</v>
      </c>
      <c r="V73" s="13">
        <v>8202</v>
      </c>
      <c r="W73" s="13">
        <v>8560</v>
      </c>
      <c r="X73" s="670">
        <f>X72+858</f>
        <v>9286</v>
      </c>
    </row>
    <row r="74" spans="1:24">
      <c r="A74" s="8">
        <v>10</v>
      </c>
      <c r="B74" s="14">
        <v>4111</v>
      </c>
      <c r="C74" s="14">
        <v>4217</v>
      </c>
      <c r="D74" s="14">
        <v>4217</v>
      </c>
      <c r="E74" s="14">
        <v>4378</v>
      </c>
      <c r="F74" s="14">
        <v>4500</v>
      </c>
      <c r="G74" s="14">
        <v>4637</v>
      </c>
      <c r="H74" s="14">
        <v>4822</v>
      </c>
      <c r="I74" s="14">
        <v>4822</v>
      </c>
      <c r="J74" s="14">
        <v>4905</v>
      </c>
      <c r="K74" s="14">
        <v>5072</v>
      </c>
      <c r="L74" s="14">
        <v>5161</v>
      </c>
      <c r="M74" s="14">
        <v>5161</v>
      </c>
      <c r="N74" s="13">
        <f t="shared" ref="N74:N84" si="14">N73+678</f>
        <v>8038</v>
      </c>
      <c r="O74" s="13">
        <f t="shared" ref="O74:P84" si="15">O73+694</f>
        <v>8204</v>
      </c>
      <c r="P74" s="13">
        <f t="shared" si="15"/>
        <v>8204</v>
      </c>
      <c r="Q74" s="13">
        <f t="shared" ref="Q74:Q84" si="16">Q73+698</f>
        <v>8284</v>
      </c>
      <c r="R74" s="13">
        <f t="shared" ref="R74:R84" si="17">R73+720</f>
        <v>8504</v>
      </c>
      <c r="S74" s="13">
        <f>S73+738</f>
        <v>8716</v>
      </c>
      <c r="T74" s="13">
        <v>8850</v>
      </c>
      <c r="U74" s="13">
        <v>8850</v>
      </c>
      <c r="V74" s="13">
        <v>8960</v>
      </c>
      <c r="W74" s="13">
        <v>9348</v>
      </c>
      <c r="X74" s="670">
        <f t="shared" ref="X74:X84" si="18">X73+858</f>
        <v>10144</v>
      </c>
    </row>
    <row r="75" spans="1:24">
      <c r="A75" s="8">
        <v>11</v>
      </c>
      <c r="B75" s="14">
        <v>4456</v>
      </c>
      <c r="C75" s="14">
        <v>4571</v>
      </c>
      <c r="D75" s="14">
        <v>4571</v>
      </c>
      <c r="E75" s="14">
        <v>4747</v>
      </c>
      <c r="F75" s="14">
        <v>4877</v>
      </c>
      <c r="G75" s="14">
        <v>5027</v>
      </c>
      <c r="H75" s="14">
        <v>5228</v>
      </c>
      <c r="I75" s="14">
        <v>5228</v>
      </c>
      <c r="J75" s="14">
        <v>5319</v>
      </c>
      <c r="K75" s="14">
        <v>5501</v>
      </c>
      <c r="L75" s="14">
        <v>5596</v>
      </c>
      <c r="M75" s="14">
        <v>5596</v>
      </c>
      <c r="N75" s="13">
        <f t="shared" si="14"/>
        <v>8716</v>
      </c>
      <c r="O75" s="13">
        <f t="shared" si="15"/>
        <v>8898</v>
      </c>
      <c r="P75" s="13">
        <f t="shared" si="15"/>
        <v>8898</v>
      </c>
      <c r="Q75" s="13">
        <f t="shared" si="16"/>
        <v>8982</v>
      </c>
      <c r="R75" s="13">
        <f t="shared" si="17"/>
        <v>9224</v>
      </c>
      <c r="S75" s="13">
        <f t="shared" ref="S75:S84" si="19">S74+738</f>
        <v>9454</v>
      </c>
      <c r="T75" s="13">
        <v>9598</v>
      </c>
      <c r="U75" s="13">
        <v>9598</v>
      </c>
      <c r="V75" s="13">
        <f>V74+758</f>
        <v>9718</v>
      </c>
      <c r="W75" s="13">
        <v>10136</v>
      </c>
      <c r="X75" s="670">
        <f t="shared" si="18"/>
        <v>11002</v>
      </c>
    </row>
    <row r="76" spans="1:24">
      <c r="A76" s="8">
        <v>12</v>
      </c>
      <c r="B76" s="14">
        <v>4801</v>
      </c>
      <c r="C76" s="14">
        <v>4925</v>
      </c>
      <c r="D76" s="14">
        <v>4925</v>
      </c>
      <c r="E76" s="14">
        <v>5116</v>
      </c>
      <c r="F76" s="14">
        <v>5254</v>
      </c>
      <c r="G76" s="14">
        <v>5417</v>
      </c>
      <c r="H76" s="14">
        <v>5634</v>
      </c>
      <c r="I76" s="14">
        <v>5634</v>
      </c>
      <c r="J76" s="14">
        <v>5733</v>
      </c>
      <c r="K76" s="14">
        <v>5930</v>
      </c>
      <c r="L76" s="14">
        <v>6031</v>
      </c>
      <c r="M76" s="14">
        <v>6031</v>
      </c>
      <c r="N76" s="13">
        <f t="shared" si="14"/>
        <v>9394</v>
      </c>
      <c r="O76" s="13">
        <f t="shared" si="15"/>
        <v>9592</v>
      </c>
      <c r="P76" s="13">
        <f t="shared" si="15"/>
        <v>9592</v>
      </c>
      <c r="Q76" s="13">
        <f t="shared" si="16"/>
        <v>9680</v>
      </c>
      <c r="R76" s="13">
        <f t="shared" si="17"/>
        <v>9944</v>
      </c>
      <c r="S76" s="13">
        <f t="shared" si="19"/>
        <v>10192</v>
      </c>
      <c r="T76" s="13">
        <v>10346</v>
      </c>
      <c r="U76" s="13">
        <v>10346</v>
      </c>
      <c r="V76" s="13">
        <f t="shared" ref="V76:V84" si="20">V75+758</f>
        <v>10476</v>
      </c>
      <c r="W76" s="13">
        <v>10924</v>
      </c>
      <c r="X76" s="670">
        <f t="shared" si="18"/>
        <v>11860</v>
      </c>
    </row>
    <row r="77" spans="1:24">
      <c r="A77" s="8">
        <v>13</v>
      </c>
      <c r="B77" s="14">
        <v>5146</v>
      </c>
      <c r="C77" s="14">
        <v>5279</v>
      </c>
      <c r="D77" s="14">
        <v>5279</v>
      </c>
      <c r="E77" s="14">
        <v>5485</v>
      </c>
      <c r="F77" s="14">
        <v>5631</v>
      </c>
      <c r="G77" s="14">
        <v>5807</v>
      </c>
      <c r="H77" s="14">
        <v>6040</v>
      </c>
      <c r="I77" s="14">
        <v>6040</v>
      </c>
      <c r="J77" s="14">
        <v>6147</v>
      </c>
      <c r="K77" s="14">
        <v>6359</v>
      </c>
      <c r="L77" s="14">
        <v>6466</v>
      </c>
      <c r="M77" s="14">
        <v>6466</v>
      </c>
      <c r="N77" s="13">
        <f t="shared" si="14"/>
        <v>10072</v>
      </c>
      <c r="O77" s="13">
        <f t="shared" si="15"/>
        <v>10286</v>
      </c>
      <c r="P77" s="13">
        <f t="shared" si="15"/>
        <v>10286</v>
      </c>
      <c r="Q77" s="13">
        <f t="shared" si="16"/>
        <v>10378</v>
      </c>
      <c r="R77" s="13">
        <f t="shared" si="17"/>
        <v>10664</v>
      </c>
      <c r="S77" s="13">
        <f t="shared" si="19"/>
        <v>10930</v>
      </c>
      <c r="T77" s="13">
        <v>11094</v>
      </c>
      <c r="U77" s="13">
        <v>11094</v>
      </c>
      <c r="V77" s="13">
        <f t="shared" si="20"/>
        <v>11234</v>
      </c>
      <c r="W77" s="13">
        <v>11712</v>
      </c>
      <c r="X77" s="670">
        <f t="shared" si="18"/>
        <v>12718</v>
      </c>
    </row>
    <row r="78" spans="1:24">
      <c r="A78" s="8">
        <v>14</v>
      </c>
      <c r="B78" s="14">
        <v>5491</v>
      </c>
      <c r="C78" s="14">
        <v>5633</v>
      </c>
      <c r="D78" s="14">
        <v>5633</v>
      </c>
      <c r="E78" s="14">
        <v>5854</v>
      </c>
      <c r="F78" s="14">
        <v>6008</v>
      </c>
      <c r="G78" s="14">
        <v>6197</v>
      </c>
      <c r="H78" s="14">
        <v>6446</v>
      </c>
      <c r="I78" s="14">
        <v>6446</v>
      </c>
      <c r="J78" s="14">
        <v>6561</v>
      </c>
      <c r="K78" s="14">
        <v>6788</v>
      </c>
      <c r="L78" s="14">
        <v>6901</v>
      </c>
      <c r="M78" s="14">
        <v>6901</v>
      </c>
      <c r="N78" s="13">
        <f t="shared" si="14"/>
        <v>10750</v>
      </c>
      <c r="O78" s="13">
        <f t="shared" si="15"/>
        <v>10980</v>
      </c>
      <c r="P78" s="13">
        <f t="shared" si="15"/>
        <v>10980</v>
      </c>
      <c r="Q78" s="13">
        <f t="shared" si="16"/>
        <v>11076</v>
      </c>
      <c r="R78" s="13">
        <f t="shared" si="17"/>
        <v>11384</v>
      </c>
      <c r="S78" s="13">
        <f t="shared" si="19"/>
        <v>11668</v>
      </c>
      <c r="T78" s="13">
        <v>11842</v>
      </c>
      <c r="U78" s="13">
        <v>11842</v>
      </c>
      <c r="V78" s="13">
        <f t="shared" si="20"/>
        <v>11992</v>
      </c>
      <c r="W78" s="13">
        <v>12500</v>
      </c>
      <c r="X78" s="670">
        <f t="shared" si="18"/>
        <v>13576</v>
      </c>
    </row>
    <row r="79" spans="1:24">
      <c r="A79" s="8">
        <v>15</v>
      </c>
      <c r="B79" s="14">
        <v>5836</v>
      </c>
      <c r="C79" s="14">
        <v>5987</v>
      </c>
      <c r="D79" s="14">
        <v>5987</v>
      </c>
      <c r="E79" s="14">
        <v>6223</v>
      </c>
      <c r="F79" s="14">
        <v>6385</v>
      </c>
      <c r="G79" s="14">
        <v>6587</v>
      </c>
      <c r="H79" s="14">
        <v>6852</v>
      </c>
      <c r="I79" s="14">
        <v>6852</v>
      </c>
      <c r="J79" s="14">
        <v>6975</v>
      </c>
      <c r="K79" s="14">
        <v>7217</v>
      </c>
      <c r="L79" s="14">
        <v>7336</v>
      </c>
      <c r="M79" s="14">
        <v>7336</v>
      </c>
      <c r="N79" s="13">
        <f t="shared" si="14"/>
        <v>11428</v>
      </c>
      <c r="O79" s="13">
        <f t="shared" si="15"/>
        <v>11674</v>
      </c>
      <c r="P79" s="13">
        <f t="shared" si="15"/>
        <v>11674</v>
      </c>
      <c r="Q79" s="13">
        <f t="shared" si="16"/>
        <v>11774</v>
      </c>
      <c r="R79" s="13">
        <f t="shared" si="17"/>
        <v>12104</v>
      </c>
      <c r="S79" s="13">
        <f t="shared" si="19"/>
        <v>12406</v>
      </c>
      <c r="T79" s="13">
        <v>12590</v>
      </c>
      <c r="U79" s="13">
        <v>12590</v>
      </c>
      <c r="V79" s="13">
        <f t="shared" si="20"/>
        <v>12750</v>
      </c>
      <c r="W79" s="13">
        <v>13288</v>
      </c>
      <c r="X79" s="670">
        <f t="shared" si="18"/>
        <v>14434</v>
      </c>
    </row>
    <row r="80" spans="1:24">
      <c r="A80" s="8">
        <v>16</v>
      </c>
      <c r="B80" s="14">
        <v>6181</v>
      </c>
      <c r="C80" s="14">
        <v>6341</v>
      </c>
      <c r="D80" s="14">
        <v>6341</v>
      </c>
      <c r="E80" s="14">
        <v>6592</v>
      </c>
      <c r="F80" s="14">
        <v>6762</v>
      </c>
      <c r="G80" s="14">
        <v>6977</v>
      </c>
      <c r="H80" s="14">
        <v>7258</v>
      </c>
      <c r="I80" s="14">
        <v>7258</v>
      </c>
      <c r="J80" s="14">
        <v>7389</v>
      </c>
      <c r="K80" s="14">
        <v>7646</v>
      </c>
      <c r="L80" s="14">
        <v>7771</v>
      </c>
      <c r="M80" s="14">
        <v>7771</v>
      </c>
      <c r="N80" s="13">
        <f t="shared" si="14"/>
        <v>12106</v>
      </c>
      <c r="O80" s="13">
        <f t="shared" si="15"/>
        <v>12368</v>
      </c>
      <c r="P80" s="13">
        <f t="shared" si="15"/>
        <v>12368</v>
      </c>
      <c r="Q80" s="13">
        <f t="shared" si="16"/>
        <v>12472</v>
      </c>
      <c r="R80" s="13">
        <f t="shared" si="17"/>
        <v>12824</v>
      </c>
      <c r="S80" s="13">
        <f t="shared" si="19"/>
        <v>13144</v>
      </c>
      <c r="T80" s="13">
        <v>13338</v>
      </c>
      <c r="U80" s="13">
        <v>13338</v>
      </c>
      <c r="V80" s="13">
        <f t="shared" si="20"/>
        <v>13508</v>
      </c>
      <c r="W80" s="13">
        <v>14076</v>
      </c>
      <c r="X80" s="670">
        <f t="shared" si="18"/>
        <v>15292</v>
      </c>
    </row>
    <row r="81" spans="1:25">
      <c r="A81" s="8">
        <v>17</v>
      </c>
      <c r="B81" s="14">
        <v>6526</v>
      </c>
      <c r="C81" s="14">
        <v>6695</v>
      </c>
      <c r="D81" s="14">
        <v>6695</v>
      </c>
      <c r="E81" s="14">
        <v>6961</v>
      </c>
      <c r="F81" s="14">
        <v>7139</v>
      </c>
      <c r="G81" s="14">
        <v>7367</v>
      </c>
      <c r="H81" s="14">
        <v>7664</v>
      </c>
      <c r="I81" s="14">
        <v>7664</v>
      </c>
      <c r="J81" s="14">
        <v>7803</v>
      </c>
      <c r="K81" s="14">
        <v>8075</v>
      </c>
      <c r="L81" s="14">
        <v>8206</v>
      </c>
      <c r="M81" s="14">
        <v>8206</v>
      </c>
      <c r="N81" s="13">
        <f t="shared" si="14"/>
        <v>12784</v>
      </c>
      <c r="O81" s="13">
        <f t="shared" si="15"/>
        <v>13062</v>
      </c>
      <c r="P81" s="13">
        <f t="shared" si="15"/>
        <v>13062</v>
      </c>
      <c r="Q81" s="13">
        <f t="shared" si="16"/>
        <v>13170</v>
      </c>
      <c r="R81" s="13">
        <f t="shared" si="17"/>
        <v>13544</v>
      </c>
      <c r="S81" s="13">
        <f t="shared" si="19"/>
        <v>13882</v>
      </c>
      <c r="T81" s="13">
        <v>14086</v>
      </c>
      <c r="U81" s="13">
        <v>14086</v>
      </c>
      <c r="V81" s="13">
        <f t="shared" si="20"/>
        <v>14266</v>
      </c>
      <c r="W81" s="13">
        <v>14864</v>
      </c>
      <c r="X81" s="670">
        <f t="shared" si="18"/>
        <v>16150</v>
      </c>
    </row>
    <row r="82" spans="1:25">
      <c r="A82" s="8">
        <v>18</v>
      </c>
      <c r="B82" s="14">
        <v>6871</v>
      </c>
      <c r="C82" s="14">
        <v>7049</v>
      </c>
      <c r="D82" s="14">
        <v>7049</v>
      </c>
      <c r="E82" s="14">
        <v>7330</v>
      </c>
      <c r="F82" s="14">
        <v>7516</v>
      </c>
      <c r="G82" s="14">
        <v>7757</v>
      </c>
      <c r="H82" s="14">
        <v>8070</v>
      </c>
      <c r="I82" s="14">
        <v>8070</v>
      </c>
      <c r="J82" s="14">
        <v>8217</v>
      </c>
      <c r="K82" s="14">
        <v>8504</v>
      </c>
      <c r="L82" s="14">
        <v>8641</v>
      </c>
      <c r="M82" s="14">
        <v>8641</v>
      </c>
      <c r="N82" s="13">
        <f t="shared" si="14"/>
        <v>13462</v>
      </c>
      <c r="O82" s="13">
        <f t="shared" si="15"/>
        <v>13756</v>
      </c>
      <c r="P82" s="13">
        <f t="shared" si="15"/>
        <v>13756</v>
      </c>
      <c r="Q82" s="13">
        <f t="shared" si="16"/>
        <v>13868</v>
      </c>
      <c r="R82" s="13">
        <f t="shared" si="17"/>
        <v>14264</v>
      </c>
      <c r="S82" s="13">
        <f t="shared" si="19"/>
        <v>14620</v>
      </c>
      <c r="T82" s="13">
        <v>14834</v>
      </c>
      <c r="U82" s="13">
        <v>14834</v>
      </c>
      <c r="V82" s="13">
        <f t="shared" si="20"/>
        <v>15024</v>
      </c>
      <c r="W82" s="13">
        <v>15652</v>
      </c>
      <c r="X82" s="670">
        <f t="shared" si="18"/>
        <v>17008</v>
      </c>
    </row>
    <row r="83" spans="1:25">
      <c r="A83" s="8">
        <v>19</v>
      </c>
      <c r="B83" s="14">
        <v>7216</v>
      </c>
      <c r="C83" s="14">
        <v>7403</v>
      </c>
      <c r="D83" s="14">
        <v>7403</v>
      </c>
      <c r="E83" s="14">
        <v>7699</v>
      </c>
      <c r="F83" s="14">
        <v>7893</v>
      </c>
      <c r="G83" s="14">
        <v>8147</v>
      </c>
      <c r="H83" s="14">
        <v>8476</v>
      </c>
      <c r="I83" s="14">
        <v>8476</v>
      </c>
      <c r="J83" s="14">
        <v>8631</v>
      </c>
      <c r="K83" s="14">
        <v>8933</v>
      </c>
      <c r="L83" s="14">
        <v>9076</v>
      </c>
      <c r="M83" s="14">
        <v>9076</v>
      </c>
      <c r="N83" s="13">
        <f t="shared" si="14"/>
        <v>14140</v>
      </c>
      <c r="O83" s="13">
        <f t="shared" si="15"/>
        <v>14450</v>
      </c>
      <c r="P83" s="13">
        <f t="shared" si="15"/>
        <v>14450</v>
      </c>
      <c r="Q83" s="13">
        <f t="shared" si="16"/>
        <v>14566</v>
      </c>
      <c r="R83" s="13">
        <f t="shared" si="17"/>
        <v>14984</v>
      </c>
      <c r="S83" s="13">
        <f t="shared" si="19"/>
        <v>15358</v>
      </c>
      <c r="T83" s="13">
        <v>15582</v>
      </c>
      <c r="U83" s="13">
        <v>15582</v>
      </c>
      <c r="V83" s="13">
        <f t="shared" si="20"/>
        <v>15782</v>
      </c>
      <c r="W83" s="13">
        <v>16440</v>
      </c>
      <c r="X83" s="670">
        <f t="shared" si="18"/>
        <v>17866</v>
      </c>
    </row>
    <row r="84" spans="1:25">
      <c r="A84" s="8">
        <v>20</v>
      </c>
      <c r="B84" s="14">
        <v>7561</v>
      </c>
      <c r="C84" s="14">
        <v>7757</v>
      </c>
      <c r="D84" s="14">
        <v>7757</v>
      </c>
      <c r="E84" s="14">
        <v>8068</v>
      </c>
      <c r="F84" s="14">
        <v>8270</v>
      </c>
      <c r="G84" s="14">
        <v>8537</v>
      </c>
      <c r="H84" s="14">
        <v>8882</v>
      </c>
      <c r="I84" s="14">
        <v>8882</v>
      </c>
      <c r="J84" s="14">
        <v>9045</v>
      </c>
      <c r="K84" s="14">
        <v>9362</v>
      </c>
      <c r="L84" s="14">
        <v>9511</v>
      </c>
      <c r="M84" s="14">
        <v>9511</v>
      </c>
      <c r="N84" s="13">
        <f t="shared" si="14"/>
        <v>14818</v>
      </c>
      <c r="O84" s="13">
        <f t="shared" si="15"/>
        <v>15144</v>
      </c>
      <c r="P84" s="13">
        <f t="shared" si="15"/>
        <v>15144</v>
      </c>
      <c r="Q84" s="13">
        <f t="shared" si="16"/>
        <v>15264</v>
      </c>
      <c r="R84" s="13">
        <f t="shared" si="17"/>
        <v>15704</v>
      </c>
      <c r="S84" s="13">
        <f t="shared" si="19"/>
        <v>16096</v>
      </c>
      <c r="T84" s="13">
        <v>16330</v>
      </c>
      <c r="U84" s="13">
        <v>16330</v>
      </c>
      <c r="V84" s="13">
        <f t="shared" si="20"/>
        <v>16540</v>
      </c>
      <c r="W84" s="13">
        <v>17228</v>
      </c>
      <c r="X84" s="670">
        <f t="shared" si="18"/>
        <v>18724</v>
      </c>
    </row>
    <row r="85" spans="1: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6" spans="1:25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</row>
    <row r="87" spans="1:25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</row>
    <row r="88" spans="1:25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</row>
    <row r="89" spans="1:25">
      <c r="A89" s="371" t="s">
        <v>116</v>
      </c>
      <c r="B89" s="317"/>
      <c r="C89" s="318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</row>
    <row r="90" spans="1:25">
      <c r="A90" s="8" t="s">
        <v>43</v>
      </c>
      <c r="B90" s="319">
        <v>38261</v>
      </c>
      <c r="C90" s="310">
        <v>38626</v>
      </c>
      <c r="D90" s="310">
        <v>38934</v>
      </c>
      <c r="E90" s="310">
        <v>38991</v>
      </c>
      <c r="F90" s="310">
        <v>39356</v>
      </c>
      <c r="G90" s="310">
        <v>39722</v>
      </c>
      <c r="H90" s="310">
        <v>40087</v>
      </c>
      <c r="I90" s="310">
        <v>40452</v>
      </c>
      <c r="J90" s="310">
        <v>40817</v>
      </c>
      <c r="K90" s="310">
        <v>41183</v>
      </c>
      <c r="L90" s="310">
        <v>41548</v>
      </c>
      <c r="M90" s="310">
        <v>41579</v>
      </c>
      <c r="N90" s="310">
        <v>41913</v>
      </c>
      <c r="O90" s="503">
        <v>42278</v>
      </c>
      <c r="P90" s="503">
        <v>42644</v>
      </c>
      <c r="Q90" s="320">
        <v>43009</v>
      </c>
      <c r="R90" s="320">
        <v>43374</v>
      </c>
      <c r="S90" s="320">
        <v>43739</v>
      </c>
      <c r="T90" s="503">
        <v>44105</v>
      </c>
      <c r="U90" s="503">
        <v>44197</v>
      </c>
      <c r="V90" s="644">
        <v>44470</v>
      </c>
      <c r="W90" s="397"/>
    </row>
    <row r="91" spans="1:25">
      <c r="A91" s="8">
        <v>1</v>
      </c>
      <c r="B91" s="14">
        <v>1283</v>
      </c>
      <c r="C91" s="14">
        <v>1316</v>
      </c>
      <c r="D91" s="14">
        <v>1316</v>
      </c>
      <c r="E91" s="14">
        <v>1350</v>
      </c>
      <c r="F91" s="14">
        <v>1404</v>
      </c>
      <c r="G91" s="14">
        <v>1430</v>
      </c>
      <c r="H91" s="14">
        <v>1750</v>
      </c>
      <c r="I91" s="14">
        <v>1750</v>
      </c>
      <c r="J91" s="14">
        <v>1750</v>
      </c>
      <c r="K91" s="14">
        <v>1750</v>
      </c>
      <c r="L91" s="14">
        <v>1750</v>
      </c>
      <c r="M91" s="14">
        <v>1580</v>
      </c>
      <c r="N91" s="13">
        <v>1606</v>
      </c>
      <c r="O91" s="13">
        <v>1963</v>
      </c>
      <c r="P91" s="13">
        <v>1963</v>
      </c>
      <c r="Q91" s="13">
        <v>1659</v>
      </c>
      <c r="R91" s="13">
        <v>1670</v>
      </c>
      <c r="S91" s="13">
        <v>1720</v>
      </c>
      <c r="T91" s="13">
        <v>1755</v>
      </c>
      <c r="U91" s="13">
        <v>1755</v>
      </c>
      <c r="V91" s="503"/>
      <c r="W91" s="436"/>
      <c r="Y91" s="397"/>
    </row>
    <row r="92" spans="1:25">
      <c r="A92" s="8">
        <v>2</v>
      </c>
      <c r="B92" s="14">
        <v>1720</v>
      </c>
      <c r="C92" s="14">
        <v>1766</v>
      </c>
      <c r="D92" s="14">
        <v>1766</v>
      </c>
      <c r="E92" s="14">
        <v>1816</v>
      </c>
      <c r="F92" s="14">
        <v>1883</v>
      </c>
      <c r="G92" s="14">
        <v>1925</v>
      </c>
      <c r="H92" s="14">
        <v>2010</v>
      </c>
      <c r="I92" s="14">
        <v>2010</v>
      </c>
      <c r="J92" s="14">
        <v>2010</v>
      </c>
      <c r="K92" s="14">
        <v>2010</v>
      </c>
      <c r="L92" s="14">
        <v>2010</v>
      </c>
      <c r="M92" s="14">
        <v>2133</v>
      </c>
      <c r="N92" s="13">
        <v>2163</v>
      </c>
      <c r="O92" s="13">
        <v>2656</v>
      </c>
      <c r="P92" s="13">
        <v>2656</v>
      </c>
      <c r="Q92" s="13">
        <v>2233</v>
      </c>
      <c r="R92" s="13">
        <v>2266</v>
      </c>
      <c r="S92" s="13">
        <v>2326</v>
      </c>
      <c r="T92" s="13">
        <v>2371</v>
      </c>
      <c r="U92" s="13">
        <v>2371</v>
      </c>
      <c r="V92" s="503"/>
    </row>
    <row r="93" spans="1:25">
      <c r="A93" s="325" t="s">
        <v>262</v>
      </c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</row>
    <row r="94" spans="1:25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</row>
    <row r="95" spans="1:25">
      <c r="A95" s="397" t="s">
        <v>431</v>
      </c>
    </row>
  </sheetData>
  <sheetProtection algorithmName="SHA-512" hashValue="9CBBzzA+Tlp8K4SCx8QWNfKjP24mN/FdQvZ4iyoxIUqnDwI2y3+GH16z+EwA/NqUF4ZS9tyCUl24sB0Ic90+Gw==" saltValue="YNO+sh1ibmipo6dQwIA4Fw==" spinCount="100000" sheet="1" selectLockedCells="1"/>
  <customSheetViews>
    <customSheetView guid="{8B667783-ABB1-44FC-8E84-2FB0B35607A4}" scale="80">
      <pane xSplit="1" ySplit="16" topLeftCell="I74" activePane="bottomRight" state="frozen"/>
      <selection pane="bottomRight" activeCell="V6" sqref="V6"/>
      <pageMargins left="0.75" right="0.75" top="1" bottom="1" header="0.5" footer="0.5"/>
      <printOptions horizontalCentered="1" headings="1" gridLines="1"/>
      <pageSetup orientation="portrait" horizontalDpi="1200" verticalDpi="1200" r:id="rId1"/>
      <headerFooter alignWithMargins="0">
        <oddHeader>&amp;CExcel FS Budget for QA</oddHeader>
        <oddFooter>&amp;CWorksheet: X_Tables&amp;RPage&amp;P of &amp;N</oddFooter>
      </headerFooter>
    </customSheetView>
    <customSheetView guid="{3CED0DA5-B598-4FE7-9427-9FCE2EEF7FEF}" scale="80">
      <pane xSplit="1" ySplit="16" topLeftCell="I74" activePane="bottomRight" state="frozen"/>
      <selection pane="bottomRight" activeCell="V6" sqref="V6"/>
      <pageMargins left="0.75" right="0.75" top="1" bottom="1" header="0.5" footer="0.5"/>
      <printOptions horizontalCentered="1" headings="1" gridLines="1"/>
      <pageSetup orientation="portrait" horizontalDpi="1200" verticalDpi="1200" r:id="rId2"/>
      <headerFooter alignWithMargins="0">
        <oddHeader>&amp;CExcel FS Budget for QA</oddHeader>
        <oddFooter>&amp;CWorksheet: X_Tables&amp;RPage&amp;P of &amp;N</oddFooter>
      </headerFooter>
    </customSheetView>
  </customSheetViews>
  <phoneticPr fontId="0" type="noConversion"/>
  <printOptions horizontalCentered="1" headings="1" gridLines="1" gridLinesSet="0"/>
  <pageMargins left="0.75" right="0.75" top="1" bottom="1" header="0.5" footer="0.5"/>
  <pageSetup orientation="portrait" horizontalDpi="1200" verticalDpi="1200" r:id="rId3"/>
  <headerFooter alignWithMargins="0">
    <oddHeader>&amp;CExcel FS Budget for QA</oddHeader>
    <oddFooter>&amp;CWorksheet: X_Tables&amp;RPage&amp;P of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92D050"/>
  </sheetPr>
  <dimension ref="A1:AM61"/>
  <sheetViews>
    <sheetView zoomScale="120" zoomScaleNormal="120" workbookViewId="0">
      <selection activeCell="J19" sqref="J19"/>
    </sheetView>
  </sheetViews>
  <sheetFormatPr defaultRowHeight="15.75" customHeight="1"/>
  <cols>
    <col min="1" max="1" width="15" customWidth="1"/>
    <col min="2" max="2" width="14.85546875" bestFit="1" customWidth="1"/>
    <col min="3" max="3" width="8.28515625" customWidth="1"/>
    <col min="4" max="4" width="9.140625" customWidth="1"/>
    <col min="5" max="5" width="16.5703125" customWidth="1"/>
    <col min="6" max="6" width="11.140625" customWidth="1"/>
    <col min="10" max="10" width="13.140625" style="404" customWidth="1"/>
    <col min="11" max="11" width="0.7109375" style="404" customWidth="1"/>
    <col min="12" max="12" width="14" customWidth="1"/>
    <col min="13" max="13" width="10.140625" bestFit="1" customWidth="1"/>
    <col min="14" max="14" width="10.5703125" customWidth="1"/>
    <col min="15" max="15" width="13" customWidth="1"/>
    <col min="16" max="16" width="10.140625" customWidth="1"/>
    <col min="17" max="17" width="10.28515625" customWidth="1"/>
    <col min="19" max="19" width="9.7109375" customWidth="1"/>
  </cols>
  <sheetData>
    <row r="1" spans="1:39" ht="15.75" customHeight="1">
      <c r="D1" s="403">
        <v>43025</v>
      </c>
      <c r="E1" s="403">
        <v>43391</v>
      </c>
      <c r="F1" s="403">
        <v>43757</v>
      </c>
      <c r="G1" s="403">
        <v>44124</v>
      </c>
      <c r="H1" s="457">
        <v>44490</v>
      </c>
      <c r="I1" s="457">
        <v>44856</v>
      </c>
      <c r="J1" s="429" t="s">
        <v>352</v>
      </c>
      <c r="K1" s="429"/>
      <c r="L1" s="495" t="s">
        <v>469</v>
      </c>
    </row>
    <row r="2" spans="1:39" ht="15.75" customHeight="1">
      <c r="A2" s="397" t="s">
        <v>282</v>
      </c>
      <c r="B2" s="387" t="s">
        <v>283</v>
      </c>
      <c r="C2" s="434" t="s">
        <v>344</v>
      </c>
      <c r="D2" s="404">
        <v>126</v>
      </c>
      <c r="E2" s="404">
        <v>130</v>
      </c>
      <c r="F2" s="404">
        <v>135</v>
      </c>
      <c r="G2" s="633">
        <v>139</v>
      </c>
      <c r="H2" s="633">
        <v>144</v>
      </c>
      <c r="I2" s="653">
        <v>150</v>
      </c>
      <c r="J2" s="459"/>
      <c r="K2" s="459"/>
      <c r="L2" s="505" t="s">
        <v>295</v>
      </c>
      <c r="M2" s="388"/>
      <c r="N2" s="401"/>
      <c r="O2" s="388"/>
      <c r="P2" s="398" t="s">
        <v>395</v>
      </c>
      <c r="Q2" s="398"/>
      <c r="R2" s="401"/>
      <c r="S2" s="395">
        <v>44058</v>
      </c>
      <c r="T2" s="388"/>
      <c r="U2" s="388"/>
      <c r="AB2" s="388"/>
      <c r="AC2" s="388"/>
      <c r="AD2" s="388"/>
      <c r="AE2" s="388"/>
      <c r="AF2" s="388"/>
      <c r="AG2" s="388"/>
      <c r="AH2" s="388"/>
      <c r="AI2" s="388"/>
      <c r="AJ2" s="388"/>
      <c r="AK2" s="388"/>
      <c r="AL2" s="388"/>
      <c r="AM2" s="388"/>
    </row>
    <row r="3" spans="1:39" ht="15.75" customHeight="1">
      <c r="A3">
        <v>1</v>
      </c>
      <c r="B3" s="392"/>
      <c r="C3" s="434" t="s">
        <v>299</v>
      </c>
      <c r="D3" s="404">
        <v>18</v>
      </c>
      <c r="E3" s="404">
        <v>18</v>
      </c>
      <c r="F3" s="404">
        <v>18</v>
      </c>
      <c r="G3" s="633">
        <v>18</v>
      </c>
      <c r="H3" s="633">
        <v>19</v>
      </c>
      <c r="I3" s="653">
        <v>18</v>
      </c>
      <c r="L3" s="394" t="s">
        <v>296</v>
      </c>
      <c r="M3" s="394"/>
      <c r="N3" s="388"/>
      <c r="O3" s="388"/>
      <c r="P3" s="398" t="s">
        <v>396</v>
      </c>
      <c r="Q3" s="398"/>
      <c r="R3" s="388"/>
      <c r="S3" s="485">
        <f>S2+20</f>
        <v>44078</v>
      </c>
      <c r="T3" s="388"/>
      <c r="U3" s="388"/>
      <c r="AB3" s="388"/>
      <c r="AC3" s="388"/>
      <c r="AD3" s="388"/>
      <c r="AE3" s="388"/>
      <c r="AF3" s="388"/>
      <c r="AG3" s="388"/>
      <c r="AH3" s="388"/>
      <c r="AI3" s="388"/>
      <c r="AJ3" s="388"/>
      <c r="AK3" s="388"/>
      <c r="AL3" s="388"/>
      <c r="AM3" s="388"/>
    </row>
    <row r="4" spans="1:39" ht="15.75" customHeight="1">
      <c r="A4">
        <v>2</v>
      </c>
      <c r="B4" s="447"/>
      <c r="C4" s="434" t="s">
        <v>345</v>
      </c>
      <c r="D4" s="404">
        <v>397</v>
      </c>
      <c r="E4" s="404">
        <v>415</v>
      </c>
      <c r="F4" s="404">
        <v>432</v>
      </c>
      <c r="G4" s="633">
        <v>438</v>
      </c>
      <c r="H4" s="633">
        <v>487</v>
      </c>
      <c r="I4" s="653">
        <v>560</v>
      </c>
      <c r="L4" s="505" t="s">
        <v>351</v>
      </c>
      <c r="M4" s="505" t="s">
        <v>402</v>
      </c>
      <c r="N4" s="388"/>
      <c r="O4" s="388"/>
      <c r="P4" s="388"/>
      <c r="Q4" s="388"/>
      <c r="R4" s="438"/>
      <c r="S4" s="366"/>
      <c r="T4" s="388"/>
      <c r="U4" s="388"/>
      <c r="AB4" s="398" t="s">
        <v>132</v>
      </c>
      <c r="AC4" s="388"/>
      <c r="AD4" s="388"/>
      <c r="AE4" s="388"/>
      <c r="AF4" s="388"/>
      <c r="AG4" s="388"/>
      <c r="AH4" s="388"/>
      <c r="AI4" s="388"/>
      <c r="AJ4" s="388"/>
      <c r="AK4" s="388"/>
      <c r="AL4" s="388"/>
      <c r="AM4" s="388"/>
    </row>
    <row r="5" spans="1:39" ht="15.75" customHeight="1">
      <c r="A5" s="366">
        <v>3</v>
      </c>
      <c r="B5" s="392">
        <v>491.05</v>
      </c>
      <c r="C5" s="406" t="s">
        <v>341</v>
      </c>
      <c r="E5" s="406"/>
      <c r="F5" s="459">
        <v>569</v>
      </c>
      <c r="G5" s="459">
        <v>586</v>
      </c>
      <c r="H5" s="435">
        <v>597</v>
      </c>
      <c r="I5" s="435">
        <v>624</v>
      </c>
      <c r="L5" s="388"/>
      <c r="M5" s="504"/>
      <c r="N5" s="388"/>
      <c r="O5" s="388"/>
      <c r="P5" s="388"/>
      <c r="Q5" s="388"/>
      <c r="T5" s="388"/>
      <c r="U5" s="388"/>
      <c r="AB5" s="388"/>
      <c r="AC5" s="388"/>
      <c r="AD5" s="388"/>
      <c r="AE5" s="388"/>
      <c r="AF5" s="388"/>
      <c r="AG5" s="388"/>
      <c r="AH5" s="388"/>
      <c r="AI5" s="388"/>
      <c r="AJ5" s="388"/>
      <c r="AK5" s="388"/>
      <c r="AL5" s="388"/>
      <c r="AM5" s="388"/>
    </row>
    <row r="6" spans="1:39" ht="15.75" customHeight="1">
      <c r="A6" s="366">
        <v>4</v>
      </c>
      <c r="B6" s="392">
        <v>524.14</v>
      </c>
      <c r="G6" s="404"/>
      <c r="H6" s="388"/>
      <c r="I6" s="388"/>
      <c r="L6" s="366" t="s">
        <v>292</v>
      </c>
      <c r="O6" s="400">
        <v>1000</v>
      </c>
      <c r="Q6" s="450"/>
      <c r="R6" s="450" t="s">
        <v>401</v>
      </c>
      <c r="S6" s="396"/>
      <c r="T6" s="388"/>
      <c r="U6" s="388"/>
      <c r="V6" s="388"/>
      <c r="AB6" s="394" t="s">
        <v>325</v>
      </c>
      <c r="AC6" s="388"/>
      <c r="AD6" s="388"/>
      <c r="AE6" s="388"/>
      <c r="AF6" s="388"/>
      <c r="AG6" s="388"/>
      <c r="AH6" s="388"/>
      <c r="AI6" s="388"/>
      <c r="AJ6" s="388"/>
      <c r="AK6" s="388" t="s">
        <v>330</v>
      </c>
      <c r="AL6" s="388"/>
      <c r="AM6" s="388"/>
    </row>
    <row r="7" spans="1:39" ht="15.75" customHeight="1">
      <c r="A7" s="366">
        <v>5</v>
      </c>
      <c r="B7" s="392"/>
      <c r="E7" s="406"/>
      <c r="F7" s="428"/>
      <c r="G7" s="429"/>
      <c r="H7" s="388"/>
      <c r="I7" s="388"/>
      <c r="Q7" s="396"/>
      <c r="R7" s="633">
        <v>2020</v>
      </c>
      <c r="S7" s="396">
        <v>943.72</v>
      </c>
      <c r="T7" s="493" t="s">
        <v>399</v>
      </c>
      <c r="U7" s="388"/>
      <c r="V7" s="388"/>
      <c r="AB7" s="388"/>
      <c r="AC7" s="388"/>
      <c r="AD7" s="388"/>
      <c r="AE7" s="388"/>
      <c r="AF7" s="388"/>
      <c r="AG7" s="388"/>
      <c r="AH7" s="388"/>
      <c r="AI7" s="388"/>
      <c r="AJ7" s="388"/>
      <c r="AK7" s="388"/>
      <c r="AL7" s="388"/>
      <c r="AM7" s="388"/>
    </row>
    <row r="8" spans="1:39" ht="15.75" customHeight="1">
      <c r="A8" s="366">
        <v>6</v>
      </c>
      <c r="B8" s="392"/>
      <c r="E8" s="366"/>
      <c r="F8" s="189"/>
      <c r="G8" s="431"/>
      <c r="H8" s="430"/>
      <c r="I8" s="430"/>
      <c r="M8" s="366" t="s">
        <v>293</v>
      </c>
      <c r="O8" s="366" t="s">
        <v>308</v>
      </c>
      <c r="P8" s="366"/>
      <c r="Q8" s="396"/>
      <c r="R8" s="633">
        <v>2021</v>
      </c>
      <c r="S8" s="442">
        <v>954.72</v>
      </c>
      <c r="T8" s="492" t="s">
        <v>398</v>
      </c>
      <c r="U8" s="388"/>
      <c r="V8" s="388"/>
      <c r="AB8" s="388"/>
      <c r="AC8" s="388"/>
      <c r="AD8" s="388"/>
      <c r="AE8" s="388"/>
      <c r="AF8" s="388"/>
      <c r="AG8" s="388"/>
      <c r="AH8" s="388"/>
      <c r="AI8" s="388"/>
      <c r="AJ8" s="388"/>
      <c r="AK8" s="388"/>
      <c r="AL8" s="388"/>
      <c r="AM8" s="388"/>
    </row>
    <row r="9" spans="1:39" ht="15.75" customHeight="1">
      <c r="A9" s="366" t="s">
        <v>277</v>
      </c>
      <c r="B9" s="391">
        <f>SUM(B3:B8)</f>
        <v>1015.19</v>
      </c>
      <c r="D9" s="423" t="s">
        <v>284</v>
      </c>
      <c r="E9" s="439"/>
      <c r="F9" s="189"/>
      <c r="G9" s="432"/>
      <c r="H9" s="430"/>
      <c r="I9" s="430"/>
      <c r="Q9" s="388"/>
      <c r="R9" s="459">
        <v>2022</v>
      </c>
      <c r="S9" s="486">
        <f>841+199.21</f>
        <v>1040.21</v>
      </c>
      <c r="T9" s="492" t="s">
        <v>454</v>
      </c>
      <c r="U9" s="388"/>
      <c r="V9" s="388"/>
      <c r="AB9" s="388" t="s">
        <v>326</v>
      </c>
      <c r="AC9" s="388"/>
      <c r="AD9" s="388"/>
      <c r="AE9" s="388"/>
      <c r="AF9" s="388"/>
      <c r="AG9" s="388"/>
      <c r="AH9" s="388" t="s">
        <v>328</v>
      </c>
      <c r="AI9" s="388"/>
      <c r="AJ9" s="388"/>
      <c r="AK9" s="388"/>
      <c r="AL9" s="388"/>
      <c r="AM9" s="388"/>
    </row>
    <row r="10" spans="1:39" ht="15.75" customHeight="1">
      <c r="D10" s="418">
        <f>COUNT(B3:B8)</f>
        <v>2</v>
      </c>
      <c r="E10" s="461">
        <f>B9/D10</f>
        <v>507.59500000000003</v>
      </c>
      <c r="F10" s="189"/>
      <c r="G10" s="372"/>
      <c r="H10" s="430"/>
      <c r="I10" s="430"/>
      <c r="M10" s="366" t="s">
        <v>309</v>
      </c>
      <c r="P10" s="366"/>
      <c r="Q10" s="388"/>
      <c r="R10" s="459">
        <v>2023</v>
      </c>
      <c r="S10" s="486">
        <v>1133.73</v>
      </c>
      <c r="T10" s="633">
        <v>914</v>
      </c>
      <c r="U10" s="392">
        <f>S10-914</f>
        <v>219.73000000000002</v>
      </c>
      <c r="V10" s="388"/>
      <c r="AB10" s="388"/>
      <c r="AC10" s="388" t="s">
        <v>327</v>
      </c>
      <c r="AD10" s="388"/>
      <c r="AE10" s="388"/>
      <c r="AF10" s="388"/>
      <c r="AG10" s="388"/>
      <c r="AH10" s="388"/>
      <c r="AI10" s="388"/>
      <c r="AJ10" s="388"/>
      <c r="AK10" s="388"/>
      <c r="AL10" s="388"/>
      <c r="AM10" s="388"/>
    </row>
    <row r="11" spans="1:39" ht="15.75" customHeight="1">
      <c r="A11" s="366"/>
      <c r="B11" s="449"/>
      <c r="E11" s="389"/>
      <c r="F11" s="372"/>
      <c r="G11" s="430"/>
      <c r="H11" s="189"/>
      <c r="I11" s="189"/>
      <c r="Q11" s="388"/>
      <c r="R11" s="372"/>
      <c r="S11" s="372"/>
      <c r="T11" s="388"/>
      <c r="U11" s="388"/>
      <c r="V11" s="388"/>
      <c r="AB11" s="388"/>
      <c r="AC11" s="388"/>
      <c r="AD11" s="388"/>
      <c r="AE11" s="388"/>
      <c r="AF11" s="388"/>
      <c r="AG11" s="388"/>
      <c r="AH11" s="388" t="s">
        <v>329</v>
      </c>
      <c r="AI11" s="388"/>
      <c r="AJ11" s="388"/>
      <c r="AK11" s="388" t="s">
        <v>330</v>
      </c>
      <c r="AL11" s="388"/>
      <c r="AM11" s="388"/>
    </row>
    <row r="12" spans="1:39" ht="15.75" customHeight="1">
      <c r="B12" s="401" t="s">
        <v>298</v>
      </c>
      <c r="E12" s="406" t="s">
        <v>333</v>
      </c>
      <c r="F12" s="428" t="s">
        <v>334</v>
      </c>
      <c r="G12" s="429" t="s">
        <v>366</v>
      </c>
      <c r="H12" s="388"/>
      <c r="I12" s="388"/>
      <c r="Q12" s="388"/>
      <c r="R12" s="396"/>
      <c r="S12" s="396"/>
      <c r="T12" s="388"/>
      <c r="U12" s="388"/>
      <c r="V12" s="388"/>
      <c r="AB12" s="388"/>
      <c r="AC12" s="388"/>
      <c r="AD12" s="388"/>
      <c r="AE12" s="388"/>
      <c r="AF12" s="388"/>
      <c r="AG12" s="388"/>
      <c r="AH12" s="388"/>
      <c r="AI12" s="388"/>
      <c r="AJ12" s="388"/>
      <c r="AK12" s="388"/>
      <c r="AL12" s="388"/>
      <c r="AM12" s="388"/>
    </row>
    <row r="13" spans="1:39" ht="15.75" customHeight="1">
      <c r="A13" s="366" t="s">
        <v>350</v>
      </c>
      <c r="B13" s="449">
        <f>E10*4.33</f>
        <v>2197.8863500000002</v>
      </c>
      <c r="D13" s="366"/>
      <c r="E13" s="366" t="s">
        <v>365</v>
      </c>
      <c r="F13" s="189" t="s">
        <v>335</v>
      </c>
      <c r="G13" s="431" t="s">
        <v>336</v>
      </c>
      <c r="H13" s="430"/>
      <c r="I13" s="388"/>
      <c r="L13" s="366" t="s">
        <v>294</v>
      </c>
      <c r="Q13" s="388"/>
      <c r="R13" s="388"/>
      <c r="S13" s="388"/>
      <c r="T13" s="388"/>
      <c r="U13" s="388"/>
      <c r="V13" s="388"/>
      <c r="AB13" s="388"/>
      <c r="AC13" s="388"/>
      <c r="AD13" s="388"/>
      <c r="AE13" s="388"/>
      <c r="AF13" s="388"/>
      <c r="AG13" s="388"/>
      <c r="AH13" s="388"/>
      <c r="AI13" s="388"/>
      <c r="AJ13" s="388"/>
      <c r="AK13" s="388"/>
      <c r="AL13" s="388"/>
      <c r="AM13" s="388"/>
    </row>
    <row r="14" spans="1:39" ht="15.75" customHeight="1">
      <c r="E14" s="439"/>
      <c r="F14" s="189" t="s">
        <v>337</v>
      </c>
      <c r="G14" s="432">
        <v>120</v>
      </c>
      <c r="H14" s="430"/>
      <c r="I14" s="450"/>
      <c r="N14" s="397"/>
      <c r="Q14" s="388"/>
      <c r="R14" s="398"/>
      <c r="S14" s="388"/>
      <c r="T14" s="388"/>
      <c r="U14" s="398"/>
      <c r="V14" s="388"/>
      <c r="AB14" s="394" t="s">
        <v>332</v>
      </c>
      <c r="AC14" s="388"/>
      <c r="AD14" s="388"/>
      <c r="AE14" s="388"/>
      <c r="AF14" s="388"/>
      <c r="AG14" s="388"/>
      <c r="AH14" s="388"/>
      <c r="AI14" s="388"/>
      <c r="AJ14" s="388"/>
      <c r="AK14" s="388" t="s">
        <v>331</v>
      </c>
      <c r="AL14" s="388"/>
      <c r="AM14" s="388"/>
    </row>
    <row r="15" spans="1:39" ht="15.75" customHeight="1">
      <c r="A15" s="366" t="s">
        <v>285</v>
      </c>
      <c r="B15" s="449">
        <f>E10*2.167</f>
        <v>1099.958365</v>
      </c>
      <c r="D15" s="366"/>
      <c r="E15" s="461"/>
      <c r="F15" s="189" t="s">
        <v>338</v>
      </c>
      <c r="G15" s="372" t="s">
        <v>339</v>
      </c>
      <c r="H15" s="430"/>
      <c r="I15" s="388"/>
      <c r="M15" s="366" t="s">
        <v>310</v>
      </c>
      <c r="Q15" s="388"/>
      <c r="R15" s="388"/>
      <c r="S15" s="388"/>
      <c r="T15" s="493"/>
      <c r="U15" s="388"/>
      <c r="V15" s="388"/>
      <c r="AB15" s="388"/>
      <c r="AC15" s="388"/>
      <c r="AD15" s="388"/>
      <c r="AE15" s="388"/>
      <c r="AF15" s="388"/>
      <c r="AG15" s="388"/>
      <c r="AH15" s="388"/>
      <c r="AI15" s="388"/>
      <c r="AJ15" s="388"/>
      <c r="AK15" s="388"/>
      <c r="AL15" s="388"/>
      <c r="AM15" s="388"/>
    </row>
    <row r="16" spans="1:39" ht="15.75" customHeight="1">
      <c r="E16" s="389"/>
      <c r="F16" s="372"/>
      <c r="G16" s="430"/>
      <c r="H16" s="189" t="s">
        <v>340</v>
      </c>
      <c r="I16" s="388"/>
      <c r="L16" s="505"/>
      <c r="M16" s="388"/>
      <c r="N16" s="388"/>
      <c r="O16" s="388"/>
      <c r="P16" s="388"/>
      <c r="Q16" s="388"/>
      <c r="R16" s="388"/>
      <c r="S16" s="388"/>
      <c r="T16" s="388"/>
      <c r="U16" s="399"/>
      <c r="V16" s="388"/>
      <c r="AB16" s="388"/>
      <c r="AC16" s="388"/>
      <c r="AD16" s="388"/>
      <c r="AE16" s="388"/>
      <c r="AF16" s="388"/>
      <c r="AG16" s="388"/>
      <c r="AH16" s="388"/>
      <c r="AI16" s="388"/>
      <c r="AJ16" s="388"/>
      <c r="AK16" s="388"/>
      <c r="AL16" s="388"/>
      <c r="AM16" s="388"/>
    </row>
    <row r="17" spans="1:39" ht="15.75" customHeight="1">
      <c r="A17" s="366" t="s">
        <v>286</v>
      </c>
      <c r="B17" s="449">
        <f>E10*2</f>
        <v>1015.19</v>
      </c>
      <c r="D17" s="366"/>
      <c r="E17" s="449"/>
      <c r="F17" s="388"/>
      <c r="G17" s="388"/>
      <c r="H17" s="388"/>
      <c r="I17" s="388"/>
      <c r="J17" s="404">
        <v>10</v>
      </c>
      <c r="L17" s="398"/>
      <c r="M17" s="396"/>
      <c r="N17" s="396"/>
      <c r="O17" s="396"/>
      <c r="P17" s="396"/>
      <c r="Q17" s="396"/>
      <c r="R17" s="396"/>
      <c r="S17" s="396"/>
      <c r="T17" s="396"/>
      <c r="U17" s="388"/>
      <c r="V17" s="388"/>
      <c r="AB17" s="388"/>
      <c r="AC17" s="388"/>
      <c r="AD17" s="388"/>
      <c r="AE17" s="388"/>
      <c r="AF17" s="388"/>
      <c r="AG17" s="388"/>
      <c r="AH17" s="388"/>
      <c r="AI17" s="388"/>
      <c r="AJ17" s="388"/>
      <c r="AK17" s="388"/>
      <c r="AL17" s="388"/>
      <c r="AM17" s="388"/>
    </row>
    <row r="18" spans="1:39" ht="15.75" customHeight="1">
      <c r="A18" s="366"/>
      <c r="B18" s="449"/>
      <c r="D18" s="366"/>
      <c r="E18" s="449"/>
      <c r="F18" s="388"/>
      <c r="G18" s="388"/>
      <c r="H18" s="388"/>
      <c r="I18" s="388"/>
      <c r="J18" s="404">
        <v>13</v>
      </c>
      <c r="L18" s="441" t="s">
        <v>371</v>
      </c>
      <c r="M18" s="443">
        <v>8.6999999999999994E-2</v>
      </c>
      <c r="N18" s="657" t="s">
        <v>466</v>
      </c>
      <c r="O18" s="396"/>
      <c r="P18" s="443">
        <v>1.2999999999999999E-2</v>
      </c>
      <c r="Q18" s="441" t="s">
        <v>386</v>
      </c>
      <c r="R18" s="396"/>
      <c r="S18" s="443">
        <v>5.8999999999999997E-2</v>
      </c>
      <c r="T18" s="441" t="s">
        <v>450</v>
      </c>
      <c r="U18" s="388"/>
      <c r="V18" s="388"/>
      <c r="AB18" s="388"/>
      <c r="AC18" s="388"/>
      <c r="AD18" s="388"/>
      <c r="AE18" s="388"/>
      <c r="AF18" s="388"/>
      <c r="AG18" s="388"/>
      <c r="AH18" s="388"/>
      <c r="AI18" s="388"/>
      <c r="AJ18" s="388"/>
      <c r="AK18" s="388"/>
      <c r="AL18" s="388"/>
      <c r="AM18" s="388"/>
    </row>
    <row r="19" spans="1:39" ht="15.75" customHeight="1">
      <c r="A19" s="366"/>
      <c r="B19" s="449"/>
      <c r="D19" s="366"/>
      <c r="E19" s="449"/>
      <c r="F19" s="388"/>
      <c r="G19" s="388"/>
      <c r="H19" s="388"/>
      <c r="I19" s="388"/>
      <c r="L19" s="396" t="s">
        <v>467</v>
      </c>
      <c r="M19" s="396" t="s">
        <v>348</v>
      </c>
      <c r="N19" s="442">
        <v>841</v>
      </c>
      <c r="O19" s="396"/>
      <c r="P19" s="396" t="s">
        <v>387</v>
      </c>
      <c r="Q19" s="442">
        <v>790</v>
      </c>
      <c r="R19" s="396"/>
      <c r="S19" s="396" t="s">
        <v>451</v>
      </c>
      <c r="T19" s="396">
        <v>923</v>
      </c>
      <c r="U19" s="388"/>
      <c r="V19" s="388"/>
      <c r="AB19" s="388"/>
      <c r="AC19" s="388"/>
      <c r="AD19" s="388"/>
      <c r="AE19" s="388"/>
      <c r="AF19" s="388"/>
      <c r="AG19" s="388"/>
      <c r="AH19" s="388"/>
      <c r="AI19" s="388"/>
      <c r="AJ19" s="388"/>
      <c r="AK19" s="388"/>
      <c r="AL19" s="388"/>
      <c r="AM19" s="388"/>
    </row>
    <row r="20" spans="1:39" ht="15.75" customHeight="1">
      <c r="D20" s="366"/>
      <c r="E20" s="390"/>
      <c r="F20" s="388"/>
      <c r="G20" s="388"/>
      <c r="H20" s="388"/>
      <c r="I20" s="388"/>
      <c r="L20" s="396">
        <v>2023</v>
      </c>
      <c r="M20" s="396" t="s">
        <v>349</v>
      </c>
      <c r="N20" s="444">
        <f>ROUNDDOWN(N21,0)</f>
        <v>914</v>
      </c>
      <c r="O20" s="396"/>
      <c r="P20" s="396" t="s">
        <v>388</v>
      </c>
      <c r="Q20" s="444">
        <f>Q19*101.3%</f>
        <v>800.26999999999987</v>
      </c>
      <c r="R20" s="396"/>
      <c r="S20" s="396" t="s">
        <v>452</v>
      </c>
      <c r="T20" s="486">
        <f>T19*1.059</f>
        <v>977.45699999999999</v>
      </c>
      <c r="U20" s="396"/>
      <c r="V20" s="388"/>
      <c r="AB20" s="388"/>
      <c r="AC20" s="388"/>
      <c r="AD20" s="388"/>
      <c r="AE20" s="388"/>
      <c r="AF20" s="388"/>
      <c r="AG20" s="388"/>
      <c r="AH20" s="388"/>
      <c r="AI20" s="388"/>
      <c r="AJ20" s="388"/>
      <c r="AK20" s="388"/>
      <c r="AL20" s="388"/>
      <c r="AM20" s="388"/>
    </row>
    <row r="21" spans="1:39" ht="15.75" customHeight="1">
      <c r="A21" s="397" t="s">
        <v>288</v>
      </c>
      <c r="D21" s="446" t="s">
        <v>297</v>
      </c>
      <c r="E21" s="401" t="s">
        <v>291</v>
      </c>
      <c r="F21" s="388"/>
      <c r="G21" s="388"/>
      <c r="H21" s="388"/>
      <c r="I21" s="388"/>
      <c r="J21" s="396"/>
      <c r="K21" s="396"/>
      <c r="L21" s="396"/>
      <c r="M21" s="396"/>
      <c r="N21" s="658">
        <f>N19*108.7%</f>
        <v>914.16699999999992</v>
      </c>
      <c r="O21" s="448">
        <f>N21*1.016</f>
        <v>928.7936719999999</v>
      </c>
      <c r="P21" s="450"/>
      <c r="Q21" s="396"/>
      <c r="R21" s="396"/>
      <c r="S21" s="396"/>
      <c r="T21" s="396" t="s">
        <v>455</v>
      </c>
      <c r="U21" s="396"/>
      <c r="V21" s="388"/>
      <c r="AB21" s="388"/>
      <c r="AC21" s="388"/>
      <c r="AD21" s="388"/>
      <c r="AE21" s="388"/>
      <c r="AF21" s="388"/>
      <c r="AG21" s="388"/>
      <c r="AH21" s="388"/>
      <c r="AI21" s="388"/>
      <c r="AJ21" s="388"/>
      <c r="AK21" s="388"/>
      <c r="AL21" s="388"/>
      <c r="AM21" s="388"/>
    </row>
    <row r="22" spans="1:39" ht="15.75" customHeight="1">
      <c r="B22" s="366" t="s">
        <v>289</v>
      </c>
      <c r="C22" s="648">
        <f>Data!C22</f>
        <v>0</v>
      </c>
      <c r="D22" s="437" t="s">
        <v>346</v>
      </c>
      <c r="E22" s="392">
        <v>23256</v>
      </c>
      <c r="F22" s="388"/>
      <c r="G22" s="388"/>
      <c r="H22" s="388"/>
      <c r="I22" s="388"/>
      <c r="L22" s="396"/>
      <c r="M22" s="396"/>
      <c r="N22" s="444"/>
      <c r="O22" s="396"/>
      <c r="P22" s="450" t="s">
        <v>453</v>
      </c>
      <c r="Q22" s="396"/>
      <c r="R22" s="396"/>
      <c r="S22" s="396"/>
      <c r="T22" s="396"/>
      <c r="U22" s="396"/>
      <c r="V22" s="388"/>
      <c r="AB22" s="388"/>
      <c r="AC22" s="388"/>
      <c r="AD22" s="388"/>
      <c r="AE22" s="388"/>
      <c r="AF22" s="388"/>
      <c r="AG22" s="388"/>
      <c r="AH22" s="388"/>
      <c r="AI22" s="388"/>
      <c r="AJ22" s="388"/>
      <c r="AK22" s="388"/>
      <c r="AL22" s="388"/>
      <c r="AM22" s="388"/>
    </row>
    <row r="23" spans="1:39" ht="15.75" customHeight="1">
      <c r="B23" s="402" t="s">
        <v>301</v>
      </c>
      <c r="C23" s="395"/>
      <c r="D23" s="445">
        <f>E23-E22</f>
        <v>984.76000000000204</v>
      </c>
      <c r="E23" s="407">
        <f>E24-D24</f>
        <v>24240.760000000002</v>
      </c>
      <c r="F23" s="629"/>
      <c r="G23" s="388"/>
      <c r="H23" s="388"/>
      <c r="I23" s="388"/>
      <c r="L23" s="469" t="s">
        <v>370</v>
      </c>
      <c r="M23" s="396"/>
      <c r="N23" s="396"/>
      <c r="O23" s="396"/>
      <c r="P23" s="396"/>
      <c r="Q23" s="396"/>
      <c r="R23" s="396"/>
      <c r="S23" s="396"/>
      <c r="T23" s="396"/>
      <c r="U23" s="396"/>
      <c r="V23" s="388"/>
      <c r="AB23" s="388"/>
      <c r="AC23" s="388"/>
      <c r="AD23" s="388"/>
      <c r="AE23" s="388"/>
      <c r="AF23" s="388"/>
      <c r="AG23" s="388"/>
      <c r="AH23" s="388"/>
      <c r="AI23" s="388"/>
      <c r="AJ23" s="388"/>
      <c r="AK23" s="388"/>
      <c r="AL23" s="388"/>
      <c r="AM23" s="388"/>
    </row>
    <row r="24" spans="1:39" ht="15.75" customHeight="1">
      <c r="B24" s="366" t="s">
        <v>290</v>
      </c>
      <c r="C24" s="395"/>
      <c r="D24" s="392">
        <v>691.67</v>
      </c>
      <c r="E24" s="392">
        <v>24932.43</v>
      </c>
      <c r="F24" s="389"/>
      <c r="G24" s="388"/>
      <c r="H24" s="388"/>
      <c r="I24" s="388"/>
      <c r="J24" s="396"/>
      <c r="K24" s="396"/>
      <c r="L24" s="401" t="s">
        <v>359</v>
      </c>
      <c r="M24" s="396"/>
      <c r="N24" s="396" t="s">
        <v>358</v>
      </c>
      <c r="O24" s="396"/>
      <c r="P24" s="398" t="s">
        <v>353</v>
      </c>
      <c r="Q24" s="396"/>
      <c r="R24" s="396" t="s">
        <v>358</v>
      </c>
      <c r="S24" s="396"/>
      <c r="T24" s="396"/>
      <c r="U24" s="396"/>
      <c r="V24" s="388"/>
      <c r="AB24" s="388"/>
      <c r="AC24" s="388"/>
      <c r="AD24" s="388"/>
      <c r="AE24" s="388"/>
      <c r="AF24" s="388"/>
      <c r="AG24" s="388"/>
      <c r="AH24" s="388"/>
      <c r="AI24" s="388"/>
      <c r="AJ24" s="388"/>
      <c r="AK24" s="388"/>
      <c r="AL24" s="388"/>
      <c r="AM24" s="388"/>
    </row>
    <row r="25" spans="1:39" ht="15.75" customHeight="1">
      <c r="F25" s="388"/>
      <c r="G25" s="388"/>
      <c r="H25" s="441"/>
      <c r="I25" s="441"/>
      <c r="J25" s="396"/>
      <c r="K25" s="396"/>
      <c r="L25" s="396" t="s">
        <v>356</v>
      </c>
      <c r="M25" s="396">
        <v>2019</v>
      </c>
      <c r="N25" s="491">
        <v>135.5</v>
      </c>
      <c r="O25" s="396"/>
      <c r="P25" s="396" t="s">
        <v>357</v>
      </c>
      <c r="Q25" s="396" t="s">
        <v>354</v>
      </c>
      <c r="R25" s="491">
        <v>437</v>
      </c>
      <c r="S25" s="396"/>
      <c r="T25" s="396"/>
      <c r="U25" s="396"/>
      <c r="V25" s="388"/>
      <c r="AB25" s="388"/>
      <c r="AC25" s="388"/>
      <c r="AD25" s="388"/>
      <c r="AE25" s="388"/>
      <c r="AF25" s="388"/>
      <c r="AG25" s="388"/>
      <c r="AH25" s="388"/>
      <c r="AI25" s="388"/>
      <c r="AJ25" s="388"/>
      <c r="AK25" s="388"/>
      <c r="AL25" s="388"/>
      <c r="AM25" s="388"/>
    </row>
    <row r="26" spans="1:39" ht="15.75" customHeight="1">
      <c r="F26" s="388"/>
      <c r="G26" s="388"/>
      <c r="H26" s="388"/>
      <c r="I26" s="388"/>
      <c r="L26" s="401" t="s">
        <v>355</v>
      </c>
      <c r="M26" s="396">
        <v>2020</v>
      </c>
      <c r="N26" s="491">
        <v>144.6</v>
      </c>
      <c r="O26" s="396"/>
      <c r="P26" s="441" t="s">
        <v>364</v>
      </c>
      <c r="Q26" s="396"/>
      <c r="R26" s="491">
        <v>458</v>
      </c>
      <c r="S26" s="396"/>
      <c r="T26" s="441" t="s">
        <v>369</v>
      </c>
      <c r="U26" s="396"/>
      <c r="V26" s="388"/>
      <c r="AB26" s="388"/>
      <c r="AC26" s="388"/>
      <c r="AD26" s="388"/>
      <c r="AE26" s="388"/>
      <c r="AF26" s="388"/>
      <c r="AG26" s="388"/>
      <c r="AH26" s="388"/>
      <c r="AI26" s="388"/>
      <c r="AJ26" s="388"/>
      <c r="AK26" s="388"/>
      <c r="AL26" s="388"/>
      <c r="AM26" s="388"/>
    </row>
    <row r="27" spans="1:39" ht="15.75" customHeight="1">
      <c r="A27" s="495" t="s">
        <v>457</v>
      </c>
      <c r="B27" s="429"/>
      <c r="C27" s="429" t="s">
        <v>468</v>
      </c>
      <c r="D27" s="657"/>
      <c r="E27" s="657" t="s">
        <v>460</v>
      </c>
      <c r="F27" s="388"/>
      <c r="G27" s="388"/>
      <c r="H27" s="388"/>
      <c r="I27" s="388"/>
      <c r="J27" s="396"/>
      <c r="K27" s="396"/>
      <c r="L27" s="396"/>
      <c r="M27" s="396">
        <v>2021</v>
      </c>
      <c r="N27" s="491">
        <v>148.5</v>
      </c>
      <c r="O27" s="396"/>
      <c r="P27" s="396"/>
      <c r="Q27" s="396"/>
      <c r="R27" s="486">
        <v>471</v>
      </c>
      <c r="S27" s="396"/>
      <c r="T27" s="396" t="s">
        <v>465</v>
      </c>
      <c r="U27" s="396"/>
      <c r="V27" s="388"/>
    </row>
    <row r="28" spans="1:39" ht="15.75" customHeight="1">
      <c r="A28" s="651" t="s">
        <v>458</v>
      </c>
      <c r="B28" s="652">
        <v>48.5</v>
      </c>
      <c r="C28" s="652">
        <v>20</v>
      </c>
      <c r="D28" s="388"/>
      <c r="E28" s="394" t="s">
        <v>461</v>
      </c>
      <c r="F28" s="394" t="s">
        <v>462</v>
      </c>
      <c r="G28" s="396" t="s">
        <v>463</v>
      </c>
      <c r="H28" s="441" t="s">
        <v>464</v>
      </c>
      <c r="I28" s="388"/>
      <c r="J28" s="396"/>
      <c r="K28" s="396"/>
      <c r="L28" s="396"/>
      <c r="M28" s="459">
        <v>2022</v>
      </c>
      <c r="N28" s="486">
        <v>170.1</v>
      </c>
      <c r="O28" s="435"/>
      <c r="P28" s="396"/>
      <c r="Q28" s="396"/>
      <c r="R28" s="396"/>
      <c r="S28" s="396"/>
      <c r="T28" s="396"/>
      <c r="U28" s="396"/>
      <c r="V28" s="388"/>
    </row>
    <row r="29" spans="1:39" ht="15.75" customHeight="1">
      <c r="A29" s="655">
        <v>44835</v>
      </c>
      <c r="B29" s="652">
        <v>54.5</v>
      </c>
      <c r="C29" s="652">
        <v>23</v>
      </c>
      <c r="D29" s="454"/>
      <c r="E29" s="395">
        <v>44846</v>
      </c>
      <c r="F29" s="395">
        <v>44859</v>
      </c>
      <c r="G29" s="432">
        <f>F29-E29+1</f>
        <v>14</v>
      </c>
      <c r="H29" s="431" t="str">
        <f>IF(G29=7,"Wkly",IF(G29=14,"bi-wkly",IF(OR(G29=15,G29=16),"semi-mos",IF(OR(G29=30,G29=31),"monthly ","Irregular"))))</f>
        <v>bi-wkly</v>
      </c>
      <c r="I29" s="388"/>
      <c r="L29" s="441"/>
      <c r="M29" s="459">
        <v>2023</v>
      </c>
      <c r="N29" s="486">
        <v>164.9</v>
      </c>
      <c r="O29" s="394"/>
      <c r="P29" s="396"/>
      <c r="Q29" s="396"/>
      <c r="R29" s="396"/>
      <c r="S29" s="396"/>
      <c r="T29" s="396"/>
      <c r="U29" s="396"/>
      <c r="V29" s="388"/>
    </row>
    <row r="30" spans="1:39" ht="15.75" customHeight="1">
      <c r="A30" s="655">
        <v>45200</v>
      </c>
      <c r="B30" s="497"/>
      <c r="C30" s="500"/>
      <c r="E30" s="656"/>
      <c r="F30" s="485"/>
      <c r="G30" s="388"/>
      <c r="H30" s="429"/>
      <c r="I30" s="429" t="s">
        <v>277</v>
      </c>
      <c r="J30" s="456">
        <f>SUM(J2:J29)</f>
        <v>23</v>
      </c>
      <c r="K30" s="456"/>
      <c r="L30" s="441" t="s">
        <v>360</v>
      </c>
      <c r="M30" s="460" t="s">
        <v>361</v>
      </c>
      <c r="N30" s="441" t="s">
        <v>362</v>
      </c>
      <c r="O30" s="394" t="s">
        <v>363</v>
      </c>
      <c r="P30" s="396"/>
      <c r="Q30" s="396"/>
      <c r="R30" s="490"/>
      <c r="S30" s="396"/>
      <c r="T30" s="396"/>
      <c r="U30" s="396"/>
      <c r="V30" s="388"/>
    </row>
    <row r="31" spans="1:39" ht="15.75" customHeight="1">
      <c r="B31" s="496"/>
      <c r="C31" s="500"/>
      <c r="E31" s="498"/>
      <c r="G31" s="388"/>
      <c r="H31" s="388"/>
      <c r="I31" s="388"/>
      <c r="L31" s="396"/>
      <c r="M31" s="396"/>
      <c r="N31" s="396"/>
      <c r="O31" s="396"/>
      <c r="P31" s="396"/>
      <c r="Q31" s="396"/>
      <c r="R31" s="396"/>
      <c r="S31" s="396"/>
      <c r="T31" s="396"/>
      <c r="U31" s="396"/>
      <c r="V31" s="388"/>
    </row>
    <row r="32" spans="1:39" ht="15.75" customHeight="1">
      <c r="B32" s="496"/>
      <c r="C32" s="432"/>
      <c r="E32" s="498"/>
      <c r="G32" s="388"/>
      <c r="H32" s="388"/>
      <c r="I32" s="388"/>
      <c r="L32" s="441"/>
      <c r="M32" s="396"/>
      <c r="N32" s="396"/>
      <c r="O32" s="396"/>
      <c r="P32" s="396"/>
      <c r="Q32" s="396"/>
      <c r="R32" s="396"/>
      <c r="S32" s="396"/>
      <c r="T32" s="396"/>
      <c r="U32" s="396"/>
      <c r="V32" s="388"/>
    </row>
    <row r="33" spans="1:22" ht="15.75" customHeight="1">
      <c r="B33" s="496"/>
      <c r="C33" s="500"/>
      <c r="E33" s="499"/>
      <c r="G33" s="388"/>
      <c r="H33" s="388"/>
      <c r="I33" s="388"/>
      <c r="J33" s="388"/>
      <c r="K33" s="388"/>
      <c r="L33" s="388"/>
      <c r="M33" s="459"/>
      <c r="N33" s="396"/>
      <c r="O33" s="396"/>
      <c r="P33" s="396"/>
      <c r="Q33" s="396"/>
      <c r="R33" s="396"/>
      <c r="S33" s="396"/>
      <c r="T33" s="396"/>
      <c r="U33" s="396"/>
      <c r="V33" s="388"/>
    </row>
    <row r="34" spans="1:22" ht="15.75" customHeight="1">
      <c r="A34" s="366"/>
      <c r="B34" s="405"/>
      <c r="G34" s="388"/>
      <c r="H34" s="388"/>
      <c r="I34" s="388"/>
      <c r="J34" s="396"/>
      <c r="K34" s="396"/>
      <c r="L34" s="396"/>
      <c r="M34" s="459"/>
      <c r="N34" s="396"/>
      <c r="O34" s="396"/>
      <c r="P34" s="396"/>
      <c r="Q34" s="396"/>
      <c r="R34" s="396"/>
      <c r="S34" s="396" t="s">
        <v>260</v>
      </c>
      <c r="T34" s="396"/>
      <c r="U34" s="396"/>
      <c r="V34" s="388"/>
    </row>
    <row r="35" spans="1:22" ht="15.75" customHeight="1">
      <c r="G35" s="388"/>
      <c r="H35" s="388"/>
      <c r="I35" s="388"/>
      <c r="J35" s="396"/>
      <c r="K35" s="396"/>
      <c r="L35" s="396"/>
      <c r="M35" s="396"/>
      <c r="N35" s="396"/>
      <c r="O35" s="396"/>
      <c r="P35" s="396"/>
      <c r="Q35" s="396"/>
      <c r="R35" s="396"/>
      <c r="S35" s="396"/>
      <c r="T35" s="396"/>
      <c r="U35" s="396"/>
      <c r="V35" s="388"/>
    </row>
    <row r="36" spans="1:22" ht="15.75" customHeight="1">
      <c r="G36" s="388"/>
      <c r="H36" s="388"/>
      <c r="I36" s="388"/>
      <c r="J36" s="396"/>
      <c r="K36" s="396"/>
      <c r="L36" s="396"/>
      <c r="M36" s="396"/>
      <c r="N36" s="396"/>
      <c r="O36" s="396"/>
      <c r="P36" s="396"/>
      <c r="Q36" s="396"/>
      <c r="R36" s="396"/>
      <c r="S36" s="396"/>
      <c r="T36" s="396"/>
      <c r="U36" s="396"/>
      <c r="V36" s="388"/>
    </row>
    <row r="37" spans="1:22" ht="15.75" customHeight="1">
      <c r="G37" s="388"/>
      <c r="H37" s="388"/>
      <c r="I37" s="388"/>
      <c r="J37" s="396"/>
      <c r="K37" s="396"/>
      <c r="L37" s="396"/>
      <c r="M37" s="396"/>
      <c r="N37" s="396"/>
      <c r="O37" s="396"/>
      <c r="P37" s="396"/>
      <c r="Q37" s="396"/>
      <c r="R37" s="396"/>
      <c r="S37" s="396"/>
      <c r="T37" s="396"/>
      <c r="U37" s="396"/>
      <c r="V37" s="388"/>
    </row>
    <row r="38" spans="1:22" ht="15.75" customHeight="1">
      <c r="G38" s="388"/>
      <c r="H38" s="388"/>
      <c r="I38" s="388"/>
      <c r="J38" s="396"/>
      <c r="K38" s="396"/>
      <c r="L38" s="396"/>
      <c r="M38" s="396"/>
      <c r="N38" s="396"/>
      <c r="O38" s="396"/>
      <c r="P38" s="396"/>
      <c r="Q38" s="396"/>
      <c r="R38" s="396"/>
      <c r="S38" s="396"/>
      <c r="T38" s="396"/>
      <c r="U38" s="396"/>
      <c r="V38" s="388"/>
    </row>
    <row r="39" spans="1:22" ht="15.75" customHeight="1">
      <c r="G39" s="388"/>
      <c r="H39" s="388"/>
      <c r="I39" s="388"/>
      <c r="J39" s="396"/>
      <c r="K39" s="396"/>
      <c r="L39" s="396"/>
      <c r="M39" s="396"/>
      <c r="N39" s="388"/>
      <c r="O39" s="388"/>
      <c r="P39" s="388"/>
      <c r="Q39" s="388"/>
      <c r="R39" s="388"/>
      <c r="S39" s="388"/>
      <c r="T39" s="388"/>
      <c r="U39" s="388"/>
    </row>
    <row r="40" spans="1:22" ht="15.75" customHeight="1">
      <c r="J40" s="396"/>
      <c r="K40" s="396"/>
      <c r="L40" s="396"/>
      <c r="M40" s="388"/>
      <c r="N40" s="388"/>
      <c r="O40" s="388"/>
      <c r="P40" s="388"/>
      <c r="Q40" s="388"/>
      <c r="R40" s="388"/>
      <c r="S40" s="388"/>
      <c r="T40" s="388"/>
      <c r="U40" s="388"/>
    </row>
    <row r="42" spans="1:22" ht="15.75" customHeight="1">
      <c r="A42" s="397" t="s">
        <v>305</v>
      </c>
      <c r="B42" s="451">
        <v>26163</v>
      </c>
      <c r="C42" s="650" t="s">
        <v>456</v>
      </c>
      <c r="D42" s="387"/>
      <c r="E42" s="396"/>
    </row>
    <row r="45" spans="1:22" ht="15.75" customHeight="1">
      <c r="A45" s="366" t="s">
        <v>306</v>
      </c>
      <c r="B45" s="409">
        <f ca="1">TODAY()</f>
        <v>45197</v>
      </c>
    </row>
    <row r="46" spans="1:22" ht="15.75" customHeight="1">
      <c r="J46" s="506"/>
      <c r="K46" s="506"/>
    </row>
    <row r="47" spans="1:22" ht="15.75" customHeight="1">
      <c r="G47" s="405"/>
      <c r="J47" s="507"/>
      <c r="K47" s="507"/>
    </row>
    <row r="48" spans="1:22" ht="15.75" customHeight="1">
      <c r="A48" s="406" t="s">
        <v>302</v>
      </c>
      <c r="B48" s="408">
        <f ca="1">DATEDIF(B42,B45,"y")</f>
        <v>52</v>
      </c>
      <c r="C48" s="366" t="s">
        <v>303</v>
      </c>
      <c r="D48" s="408">
        <f ca="1">DATEDIF(B42,B45,"ym")</f>
        <v>1</v>
      </c>
      <c r="E48" s="366" t="s">
        <v>307</v>
      </c>
      <c r="F48" s="408">
        <f ca="1">DATEDIF(B42,B45,"md")</f>
        <v>10</v>
      </c>
      <c r="G48" s="366" t="s">
        <v>304</v>
      </c>
    </row>
    <row r="50" spans="3:7" ht="15.75" customHeight="1">
      <c r="G50" s="366"/>
    </row>
    <row r="60" spans="3:7" ht="15.75" customHeight="1" thickBot="1"/>
    <row r="61" spans="3:7" ht="15.75" customHeight="1" thickBot="1">
      <c r="C61" s="708" t="str">
        <f ca="1">IF(B48&lt;40,"Your real DOB please",IF(B48&gt;55,"  CALL 1-800-SSA-SSI.P  Please  !!"," "))</f>
        <v xml:space="preserve"> </v>
      </c>
      <c r="D61" s="709"/>
      <c r="E61" s="709"/>
      <c r="F61" s="710"/>
    </row>
  </sheetData>
  <sheetProtection algorithmName="SHA-512" hashValue="DOO5PJu982ScbaPm384BRNlGTXEF43Rw7xW59mRQzCkkjjj2dxEr5F3toQ4tezOnhjYbR3aGBYbk1Tpw5F0deQ==" saltValue="dEKE9uDLmSWTWvJuYcVb2w==" spinCount="100000" sheet="1" objects="1" scenarios="1"/>
  <mergeCells count="1">
    <mergeCell ref="C61:F61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0"/>
  <dimension ref="A1:I30"/>
  <sheetViews>
    <sheetView workbookViewId="0"/>
  </sheetViews>
  <sheetFormatPr defaultRowHeight="12.75"/>
  <cols>
    <col min="1" max="1" width="2.140625" customWidth="1"/>
    <col min="2" max="2" width="3.7109375" customWidth="1"/>
    <col min="3" max="3" width="60" customWidth="1"/>
    <col min="4" max="7" width="10" customWidth="1"/>
    <col min="8" max="8" width="35.28515625" customWidth="1"/>
  </cols>
  <sheetData>
    <row r="1" spans="1:9">
      <c r="A1" s="3"/>
      <c r="B1" s="83" t="s">
        <v>197</v>
      </c>
      <c r="C1" s="48"/>
      <c r="D1" s="48"/>
      <c r="E1" s="48"/>
      <c r="F1" s="48"/>
      <c r="G1" s="48"/>
      <c r="H1" s="3"/>
    </row>
    <row r="2" spans="1:9">
      <c r="A2" s="3"/>
      <c r="B2" s="82" t="s">
        <v>196</v>
      </c>
      <c r="C2" s="81"/>
      <c r="D2" s="50" t="s">
        <v>157</v>
      </c>
      <c r="E2" s="51"/>
      <c r="F2" s="51"/>
      <c r="G2" s="56" t="s">
        <v>173</v>
      </c>
      <c r="H2" s="3"/>
    </row>
    <row r="3" spans="1:9" ht="13.5" thickBot="1">
      <c r="A3" s="3"/>
      <c r="B3" s="79" t="s">
        <v>174</v>
      </c>
      <c r="C3" s="80"/>
      <c r="D3" s="55" t="s">
        <v>158</v>
      </c>
      <c r="E3" s="55" t="s">
        <v>159</v>
      </c>
      <c r="F3" s="41" t="s">
        <v>160</v>
      </c>
      <c r="G3" s="57" t="s">
        <v>15</v>
      </c>
      <c r="H3" s="3"/>
    </row>
    <row r="4" spans="1:9" ht="13.5" thickBot="1">
      <c r="A4" s="3"/>
      <c r="B4" s="40" t="s">
        <v>169</v>
      </c>
      <c r="C4" s="26"/>
      <c r="D4" s="246"/>
      <c r="E4" s="246"/>
      <c r="F4" s="246"/>
      <c r="G4" s="300">
        <f>SUM(D4:F4)</f>
        <v>0</v>
      </c>
      <c r="H4" s="3"/>
      <c r="I4" s="58" t="s">
        <v>162</v>
      </c>
    </row>
    <row r="5" spans="1:9" ht="13.5" thickBot="1">
      <c r="A5" s="3"/>
      <c r="B5" s="40" t="str">
        <f>"2. Number of FS Eligible Household Members on Cash Aid. (Maximum: "&amp;TEXT(Data!C3, "0")&amp;")"</f>
        <v>2. Number of FS Eligible Household Members on Cash Aid. (Maximum: 0)</v>
      </c>
      <c r="C5" s="26"/>
      <c r="D5" s="246"/>
      <c r="E5" s="246"/>
      <c r="F5" s="246"/>
      <c r="G5" s="300">
        <f>IF(SUM(D5:F5)&gt;Data!C3,"Error!",SUM(D5:F5))</f>
        <v>0</v>
      </c>
      <c r="H5" s="3"/>
      <c r="I5" s="114">
        <f>Data!C3</f>
        <v>0</v>
      </c>
    </row>
    <row r="6" spans="1:9" ht="13.5" thickBot="1">
      <c r="A6" s="3"/>
      <c r="B6" s="40" t="s">
        <v>170</v>
      </c>
      <c r="C6" s="53"/>
      <c r="D6" s="248" t="str">
        <f>IF(D4&gt;0,IF(D4-D5&lt;0,"Error!",D4-D5)," ")</f>
        <v xml:space="preserve"> </v>
      </c>
      <c r="E6" s="248" t="str">
        <f>IF(E4&gt;0,IF(E4-E5&lt;0,"Error!",E4-E5)," ")</f>
        <v xml:space="preserve"> </v>
      </c>
      <c r="F6" s="190" t="str">
        <f>IF(F4&gt;0,IF(F4-F5&lt;0,"Error!",F4-F5)," ")</f>
        <v xml:space="preserve"> </v>
      </c>
      <c r="G6" s="301">
        <f>SUM(D6:F6)</f>
        <v>0</v>
      </c>
      <c r="H6" s="3"/>
      <c r="I6" s="115"/>
    </row>
    <row r="7" spans="1:9" ht="13.5" thickBot="1">
      <c r="A7" s="3"/>
      <c r="B7" s="55" t="str">
        <f>"4. Cash Aid Grant Amount. (Worksheet Data total: "&amp;TEXT(SUM(Data!C10:G10), "$0.00")&amp;"."</f>
        <v>4. Cash Aid Grant Amount. (Worksheet Data total: $0.00.</v>
      </c>
      <c r="C7" s="62"/>
      <c r="D7" s="247"/>
      <c r="E7" s="247"/>
      <c r="F7" s="247"/>
      <c r="G7" s="111">
        <f>SUM(D7:F7)</f>
        <v>0</v>
      </c>
      <c r="H7" s="3"/>
      <c r="I7" s="116">
        <f>SUM(Data!C10:G10)</f>
        <v>0</v>
      </c>
    </row>
    <row r="8" spans="1:9">
      <c r="A8" s="3"/>
      <c r="B8" s="61" t="s">
        <v>232</v>
      </c>
      <c r="C8" s="52"/>
      <c r="D8" s="85"/>
      <c r="E8" s="85"/>
      <c r="F8" s="86"/>
      <c r="G8" s="302"/>
      <c r="H8" s="3"/>
    </row>
    <row r="9" spans="1:9">
      <c r="A9" s="3"/>
      <c r="B9" s="40" t="s">
        <v>200</v>
      </c>
      <c r="C9" s="53"/>
      <c r="D9" s="132" t="str">
        <f>IF(AND(D4&gt;0,NOT(D6="Error!")),SUM(D7)/D4," ")</f>
        <v xml:space="preserve"> </v>
      </c>
      <c r="E9" s="132" t="str">
        <f>IF(AND(E4&gt;0,NOT(E6="Error!")),SUM(E7)/E4," ")</f>
        <v xml:space="preserve"> </v>
      </c>
      <c r="F9" s="249" t="str">
        <f>IF(AND(F4&gt;0,NOT(F6="Error!")),SUM(F7)/F4," ")</f>
        <v xml:space="preserve"> </v>
      </c>
      <c r="G9" s="302"/>
      <c r="H9" s="3"/>
    </row>
    <row r="10" spans="1:9">
      <c r="A10" s="3"/>
      <c r="B10" s="40" t="s">
        <v>171</v>
      </c>
      <c r="C10" s="53"/>
      <c r="D10" s="132" t="str">
        <f>IF(AND(D4&gt;0,NOT(D6="Error!")),D6*D9," ")</f>
        <v xml:space="preserve"> </v>
      </c>
      <c r="E10" s="132" t="str">
        <f>IF(AND(E4&gt;0,NOT(E6="Error!")),E6*E9," ")</f>
        <v xml:space="preserve"> </v>
      </c>
      <c r="F10" s="249" t="str">
        <f>IF(AND(F4&gt;0,NOT(F6="Error!")),F6*F9," ")</f>
        <v xml:space="preserve"> </v>
      </c>
      <c r="G10" s="303">
        <f>IF(G11="Error!",0,SUM(D10:F10))</f>
        <v>0</v>
      </c>
      <c r="H10" s="3"/>
    </row>
    <row r="11" spans="1:9">
      <c r="A11" s="3"/>
      <c r="B11" s="55" t="s">
        <v>172</v>
      </c>
      <c r="C11" s="54"/>
      <c r="D11" s="250" t="str">
        <f>IF(AND(D4&gt;0,NOT(D6="Error!")),D5*D9," ")</f>
        <v xml:space="preserve"> </v>
      </c>
      <c r="E11" s="250" t="str">
        <f>IF(AND(E4&gt;0,NOT(E6="Error!")),E5*E9," ")</f>
        <v xml:space="preserve"> </v>
      </c>
      <c r="F11" s="251" t="str">
        <f>IF(AND(F4&gt;0,NOT(F6="Error!")),F5*F9," ")</f>
        <v xml:space="preserve"> </v>
      </c>
      <c r="G11" s="304">
        <f>IF(OR(G5="Error!",D6="Error!",E6="Error!",F6="Error!",G7&gt;SUM(Data!C10:G10)),"Error!",SUM(D11:F11))</f>
        <v>0</v>
      </c>
      <c r="H11" s="3"/>
    </row>
    <row r="12" spans="1:9" ht="11.25" customHeight="1" thickBot="1">
      <c r="A12" s="3"/>
      <c r="B12" s="76"/>
      <c r="C12" s="76"/>
      <c r="D12" s="77"/>
      <c r="E12" s="77"/>
      <c r="F12" s="78"/>
      <c r="G12" s="305"/>
      <c r="H12" s="3"/>
    </row>
    <row r="13" spans="1:9" ht="13.5" thickBot="1">
      <c r="A13" s="3"/>
      <c r="B13" s="25" t="str">
        <f>"A. CFAP Persons Aided on Cash Case. (Total CFAP Persons: "&amp;TEXT('Ex-CFAP'!E3,0)&amp;")"</f>
        <v>A. CFAP Persons Aided on Cash Case. (Total CFAP Persons: 0)</v>
      </c>
      <c r="C13" s="75"/>
      <c r="D13" s="246"/>
      <c r="E13" s="246"/>
      <c r="F13" s="246"/>
      <c r="G13" s="301" t="str">
        <f>IF(SUM(D13:F13)&gt;0,IF(SUM(D13:F13)&gt;'Ex-CFAP'!E3,"Error!",SUM(D13:F13))," ")</f>
        <v xml:space="preserve"> </v>
      </c>
      <c r="H13" s="74"/>
    </row>
    <row r="14" spans="1:9">
      <c r="A14" s="3"/>
      <c r="B14" s="41" t="s">
        <v>198</v>
      </c>
      <c r="C14" s="54"/>
      <c r="D14" s="113" t="str">
        <f>IF(AND(D13&gt;0,SUM(D9)&gt;0),IF(D13&gt;D5,"Error!",D9*D13)," ")</f>
        <v xml:space="preserve"> </v>
      </c>
      <c r="E14" s="113" t="str">
        <f>IF(AND(E13&gt;0,SUM(E9)&gt;0),IF(E13&gt;E5,"Error!",E9*E13)," ")</f>
        <v xml:space="preserve"> </v>
      </c>
      <c r="F14" s="113" t="str">
        <f>IF(AND(F13&gt;0,SUM(F9)&gt;0),IF(F13&gt;F5,"Error!",F9*F13)," ")</f>
        <v xml:space="preserve"> </v>
      </c>
      <c r="G14" s="306" t="str">
        <f>IF(AND(D13&gt;0,SUM(D9:F9)&gt;0),IF(OR(D14="Error!",E14="Error!",F14="Error!",G13="Error!"),"Error!",SUM(D14:F14))," ")</f>
        <v xml:space="preserve"> </v>
      </c>
      <c r="H14" s="3"/>
    </row>
    <row r="15" spans="1:9">
      <c r="A15" s="3"/>
      <c r="B15" s="27" t="s">
        <v>175</v>
      </c>
      <c r="C15" s="52"/>
      <c r="D15" s="87"/>
      <c r="E15" s="87"/>
      <c r="F15" s="88"/>
      <c r="G15" s="307"/>
      <c r="H15" s="3"/>
    </row>
    <row r="16" spans="1:9">
      <c r="A16" s="3"/>
      <c r="B16" s="3"/>
      <c r="C16" s="3"/>
      <c r="D16" s="3"/>
      <c r="E16" s="3"/>
      <c r="F16" s="3"/>
      <c r="G16" s="3"/>
      <c r="H16" s="3"/>
    </row>
    <row r="17" spans="1:8">
      <c r="A17" s="3"/>
      <c r="B17" s="226" t="s">
        <v>183</v>
      </c>
      <c r="C17" s="226"/>
      <c r="D17" s="226"/>
      <c r="E17" s="226"/>
      <c r="F17" s="226"/>
      <c r="G17" s="226"/>
      <c r="H17" s="3"/>
    </row>
    <row r="18" spans="1:8">
      <c r="A18" s="3"/>
      <c r="B18" s="226" t="s">
        <v>184</v>
      </c>
      <c r="C18" s="226"/>
      <c r="D18" s="226"/>
      <c r="E18" s="226"/>
      <c r="F18" s="226"/>
      <c r="G18" s="226"/>
      <c r="H18" s="3"/>
    </row>
    <row r="19" spans="1:8">
      <c r="A19" s="3"/>
      <c r="B19" s="226"/>
      <c r="C19" s="226" t="s">
        <v>185</v>
      </c>
      <c r="D19" s="226"/>
      <c r="E19" s="226"/>
      <c r="F19" s="226"/>
      <c r="G19" s="226"/>
      <c r="H19" s="3"/>
    </row>
    <row r="20" spans="1:8">
      <c r="A20" s="3"/>
      <c r="B20" s="226" t="s">
        <v>188</v>
      </c>
      <c r="C20" s="226"/>
      <c r="D20" s="226"/>
      <c r="E20" s="226"/>
      <c r="F20" s="226"/>
      <c r="G20" s="226"/>
      <c r="H20" s="3"/>
    </row>
    <row r="21" spans="1:8">
      <c r="A21" s="3"/>
      <c r="B21" s="308">
        <v>1</v>
      </c>
      <c r="C21" s="226" t="s">
        <v>186</v>
      </c>
      <c r="D21" s="226"/>
      <c r="E21" s="226"/>
      <c r="F21" s="226"/>
      <c r="G21" s="226"/>
      <c r="H21" s="3"/>
    </row>
    <row r="22" spans="1:8">
      <c r="A22" s="3"/>
      <c r="B22" s="309"/>
      <c r="C22" s="226" t="s">
        <v>187</v>
      </c>
      <c r="D22" s="226"/>
      <c r="E22" s="226"/>
      <c r="F22" s="226"/>
      <c r="G22" s="226"/>
      <c r="H22" s="3"/>
    </row>
    <row r="23" spans="1:8">
      <c r="A23" s="3"/>
      <c r="B23" s="308">
        <v>2</v>
      </c>
      <c r="C23" s="226" t="s">
        <v>176</v>
      </c>
      <c r="D23" s="226"/>
      <c r="E23" s="226"/>
      <c r="F23" s="226"/>
      <c r="G23" s="226"/>
      <c r="H23" s="3"/>
    </row>
    <row r="24" spans="1:8">
      <c r="A24" s="3"/>
      <c r="B24" s="309"/>
      <c r="C24" s="226" t="s">
        <v>177</v>
      </c>
      <c r="D24" s="226"/>
      <c r="E24" s="226"/>
      <c r="F24" s="226"/>
      <c r="G24" s="226"/>
      <c r="H24" s="3"/>
    </row>
    <row r="25" spans="1:8">
      <c r="A25" s="3"/>
      <c r="B25" s="308">
        <v>3</v>
      </c>
      <c r="C25" s="226" t="s">
        <v>189</v>
      </c>
      <c r="D25" s="226"/>
      <c r="E25" s="226"/>
      <c r="F25" s="226"/>
      <c r="G25" s="226"/>
      <c r="H25" s="3"/>
    </row>
    <row r="26" spans="1:8">
      <c r="A26" s="3"/>
      <c r="B26" s="308">
        <v>4</v>
      </c>
      <c r="C26" s="226" t="s">
        <v>192</v>
      </c>
      <c r="D26" s="226"/>
      <c r="E26" s="226"/>
      <c r="F26" s="226"/>
      <c r="G26" s="226"/>
      <c r="H26" s="3"/>
    </row>
    <row r="27" spans="1:8">
      <c r="A27" s="3"/>
      <c r="B27" s="309"/>
      <c r="C27" s="226" t="s">
        <v>191</v>
      </c>
      <c r="D27" s="226"/>
      <c r="E27" s="226"/>
      <c r="F27" s="226"/>
      <c r="G27" s="226"/>
      <c r="H27" s="3"/>
    </row>
    <row r="28" spans="1:8">
      <c r="A28" s="3"/>
      <c r="B28" s="308">
        <v>5</v>
      </c>
      <c r="C28" s="226" t="s">
        <v>199</v>
      </c>
      <c r="D28" s="226"/>
      <c r="E28" s="226"/>
      <c r="F28" s="226"/>
      <c r="G28" s="226"/>
      <c r="H28" s="3"/>
    </row>
    <row r="29" spans="1:8">
      <c r="A29" s="3"/>
      <c r="B29" s="226"/>
      <c r="C29" s="226" t="s">
        <v>190</v>
      </c>
      <c r="D29" s="226"/>
      <c r="E29" s="226"/>
      <c r="F29" s="226"/>
      <c r="G29" s="226"/>
      <c r="H29" s="3"/>
    </row>
    <row r="30" spans="1:8" ht="121.15" customHeight="1">
      <c r="A30" s="3"/>
      <c r="B30" s="3"/>
      <c r="C30" s="3"/>
      <c r="D30" s="3"/>
      <c r="E30" s="3"/>
      <c r="F30" s="3"/>
      <c r="G30" s="3"/>
      <c r="H30" s="3"/>
    </row>
  </sheetData>
  <sheetProtection password="DE5B" sheet="1" objects="1" scenarios="1"/>
  <customSheetViews>
    <customSheetView guid="{8B667783-ABB1-44FC-8E84-2FB0B35607A4}">
      <selection activeCell="G18" sqref="G18"/>
      <pageMargins left="0.75" right="0.75" top="1" bottom="1" header="0.5" footer="0.5"/>
      <printOptions horizontalCentered="1" verticalCentered="1" headings="1"/>
      <pageSetup orientation="landscape" horizontalDpi="1200" verticalDpi="1200" r:id="rId1"/>
      <headerFooter alignWithMargins="0">
        <oddHeader>&amp;CExcel FS Budget for QA</oddHeader>
        <oddFooter>&amp;CWorksheet: Ex_Aid</oddFooter>
      </headerFooter>
    </customSheetView>
    <customSheetView guid="{3CED0DA5-B598-4FE7-9427-9FCE2EEF7FEF}">
      <selection activeCell="G18" sqref="G18"/>
      <pageMargins left="0.75" right="0.75" top="1" bottom="1" header="0.5" footer="0.5"/>
      <printOptions horizontalCentered="1" verticalCentered="1" headings="1"/>
      <pageSetup orientation="landscape" horizontalDpi="1200" verticalDpi="1200" r:id="rId2"/>
      <headerFooter alignWithMargins="0">
        <oddHeader>&amp;CExcel FS Budget for QA</oddHeader>
        <oddFooter>&amp;CWorksheet: Ex_Aid</oddFooter>
      </headerFooter>
    </customSheetView>
  </customSheetViews>
  <phoneticPr fontId="0" type="noConversion"/>
  <conditionalFormatting sqref="G5">
    <cfRule type="cellIs" dxfId="27" priority="1" stopIfTrue="1" operator="greaterThan">
      <formula>$I$5</formula>
    </cfRule>
  </conditionalFormatting>
  <conditionalFormatting sqref="D6:F6 G11:G14 D14:F14">
    <cfRule type="cellIs" dxfId="26" priority="2" stopIfTrue="1" operator="equal">
      <formula>"Error!"</formula>
    </cfRule>
  </conditionalFormatting>
  <conditionalFormatting sqref="G10">
    <cfRule type="expression" dxfId="25" priority="3" stopIfTrue="1">
      <formula>$G$11="Error!"</formula>
    </cfRule>
  </conditionalFormatting>
  <conditionalFormatting sqref="G7">
    <cfRule type="cellIs" dxfId="24" priority="4" stopIfTrue="1" operator="lessThan">
      <formula>$I$7</formula>
    </cfRule>
    <cfRule type="cellIs" dxfId="23" priority="5" stopIfTrue="1" operator="greaterThan">
      <formula>$I$7</formula>
    </cfRule>
  </conditionalFormatting>
  <dataValidations xWindow="832" yWindow="136" count="4">
    <dataValidation type="whole" operator="greaterThan" allowBlank="1" showInputMessage="1" showErrorMessage="1" errorTitle="Persons on Cash Aid:" error="Do not enter &quot;0&quot;.  Leave blank instead." promptTitle="Persons on Cash Aid:" prompt="Enter total the number of persons aided on cash case." sqref="D4:F4" xr:uid="{00000000-0002-0000-0500-000000000000}">
      <formula1>0</formula1>
    </dataValidation>
    <dataValidation type="whole" operator="greaterThan" allowBlank="1" showInputMessage="1" showErrorMessage="1" promptTitle="FS Persons on Cash Aid" prompt="Enter the number of cash-aided persons who also receive FS." sqref="D5:F5" xr:uid="{00000000-0002-0000-0500-000001000000}">
      <formula1>0</formula1>
    </dataValidation>
    <dataValidation type="decimal" operator="greaterThanOrEqual" allowBlank="1" showInputMessage="1" promptTitle="Cash Aid Grant Amount:" prompt="Enter the cash grant amount." sqref="D7:F7" xr:uid="{00000000-0002-0000-0500-000002000000}">
      <formula1>0</formula1>
    </dataValidation>
    <dataValidation type="whole" operator="greaterThan" allowBlank="1" showInputMessage="1" showErrorMessage="1" errorTitle="CFAP Persons Aided:" error="Do not enter &quot;0&quot;.  Leave blank instead." promptTitle="CFAP Persons Aided:" prompt="Enter the number of CFAP persons aided on this cash case." sqref="D13:F13" xr:uid="{00000000-0002-0000-0500-000003000000}">
      <formula1>0</formula1>
    </dataValidation>
  </dataValidations>
  <printOptions horizontalCentered="1" verticalCentered="1" headings="1"/>
  <pageMargins left="0.75" right="0.75" top="1" bottom="1" header="0.5" footer="0.5"/>
  <pageSetup orientation="landscape" horizontalDpi="1200" verticalDpi="1200" r:id="rId3"/>
  <headerFooter alignWithMargins="0">
    <oddHeader>&amp;CExcel FS Budget for QA</oddHeader>
    <oddFooter>&amp;CWorksheet: Ex_Aid</oddFooter>
  </headerFooter>
  <ignoredErrors>
    <ignoredError sqref="G5" formula="1"/>
  </ignoredErrors>
  <legacyDrawing r:id="rId4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"/>
  <sheetViews>
    <sheetView workbookViewId="0"/>
  </sheetViews>
  <sheetFormatPr defaultRowHeight="12.7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0C178-B7DE-42C2-81C9-D01FE72944B9}">
  <dimension ref="A1:P47"/>
  <sheetViews>
    <sheetView workbookViewId="0">
      <selection activeCell="K28" sqref="K28"/>
    </sheetView>
  </sheetViews>
  <sheetFormatPr defaultColWidth="17.140625" defaultRowHeight="18" customHeight="1"/>
  <cols>
    <col min="1" max="1" width="15.85546875" style="458" customWidth="1"/>
    <col min="2" max="2" width="9.7109375" style="463" customWidth="1"/>
    <col min="3" max="3" width="18.140625" style="458" customWidth="1"/>
    <col min="4" max="4" width="16.140625" style="458" customWidth="1"/>
    <col min="5" max="5" width="10.140625" style="463" customWidth="1"/>
    <col min="6" max="6" width="12.85546875" style="458" customWidth="1"/>
    <col min="7" max="16384" width="17.140625" style="458"/>
  </cols>
  <sheetData>
    <row r="1" spans="1:15" ht="36.75" customHeight="1">
      <c r="A1" s="462"/>
      <c r="B1" s="711" t="s">
        <v>376</v>
      </c>
      <c r="C1" s="711"/>
      <c r="D1" s="711"/>
      <c r="E1" s="711"/>
      <c r="F1" s="613" t="s">
        <v>414</v>
      </c>
    </row>
    <row r="2" spans="1:15" s="465" customFormat="1" ht="18" customHeight="1">
      <c r="B2" s="470" t="s">
        <v>372</v>
      </c>
      <c r="C2" s="471" t="s">
        <v>373</v>
      </c>
      <c r="D2" s="471" t="s">
        <v>374</v>
      </c>
      <c r="E2" s="470" t="s">
        <v>375</v>
      </c>
      <c r="F2" s="470" t="s">
        <v>375</v>
      </c>
      <c r="H2" s="477"/>
      <c r="I2" s="477"/>
      <c r="J2" s="477"/>
      <c r="K2" s="478" t="s">
        <v>382</v>
      </c>
      <c r="L2" s="479">
        <f>Data!C3</f>
        <v>0</v>
      </c>
      <c r="M2" s="477"/>
      <c r="N2" s="465" t="s">
        <v>390</v>
      </c>
      <c r="O2" s="484">
        <v>44097</v>
      </c>
    </row>
    <row r="3" spans="1:15" ht="18" customHeight="1">
      <c r="B3" s="472">
        <v>1</v>
      </c>
      <c r="C3" s="472">
        <v>2128</v>
      </c>
      <c r="D3" s="472">
        <v>1064</v>
      </c>
      <c r="E3" s="472">
        <v>204</v>
      </c>
      <c r="F3" s="472">
        <v>234</v>
      </c>
      <c r="H3" s="473"/>
      <c r="I3" s="473"/>
      <c r="J3" s="473"/>
      <c r="K3" s="473"/>
      <c r="L3" s="473"/>
      <c r="M3" s="473"/>
    </row>
    <row r="4" spans="1:15" ht="18" customHeight="1">
      <c r="B4" s="472">
        <v>2</v>
      </c>
      <c r="C4" s="472">
        <v>2874</v>
      </c>
      <c r="D4" s="472">
        <v>1437</v>
      </c>
      <c r="E4" s="472">
        <v>374</v>
      </c>
      <c r="F4" s="472">
        <v>430</v>
      </c>
      <c r="H4" s="473"/>
      <c r="I4" s="473"/>
      <c r="J4" s="473"/>
      <c r="K4" s="473"/>
      <c r="L4" s="473"/>
      <c r="M4" s="473"/>
      <c r="N4" s="458" t="s">
        <v>391</v>
      </c>
      <c r="O4" s="458" t="s">
        <v>392</v>
      </c>
    </row>
    <row r="5" spans="1:15" ht="18" customHeight="1">
      <c r="B5" s="472">
        <v>3</v>
      </c>
      <c r="C5" s="472">
        <v>3620</v>
      </c>
      <c r="D5" s="472">
        <v>1810</v>
      </c>
      <c r="E5" s="472">
        <v>535</v>
      </c>
      <c r="F5" s="472">
        <v>616</v>
      </c>
      <c r="H5" s="473"/>
      <c r="I5" s="473"/>
      <c r="J5" s="473"/>
      <c r="K5" s="473"/>
      <c r="L5" s="473"/>
      <c r="M5" s="473"/>
    </row>
    <row r="6" spans="1:15" ht="18" customHeight="1">
      <c r="B6" s="472">
        <v>4</v>
      </c>
      <c r="C6" s="472">
        <v>4368</v>
      </c>
      <c r="D6" s="472">
        <v>2184</v>
      </c>
      <c r="E6" s="472">
        <v>680</v>
      </c>
      <c r="F6" s="472">
        <v>782</v>
      </c>
      <c r="H6" s="473"/>
      <c r="I6" s="473"/>
      <c r="J6" s="473"/>
      <c r="K6" s="473"/>
      <c r="L6" s="473"/>
      <c r="M6" s="473"/>
    </row>
    <row r="7" spans="1:15" ht="18" customHeight="1">
      <c r="B7" s="472">
        <v>5</v>
      </c>
      <c r="C7" s="472">
        <v>5114</v>
      </c>
      <c r="D7" s="472">
        <v>2557</v>
      </c>
      <c r="E7" s="472">
        <v>807</v>
      </c>
      <c r="F7" s="472">
        <v>929</v>
      </c>
      <c r="H7" s="473"/>
      <c r="I7" s="473"/>
      <c r="J7" s="473"/>
      <c r="K7" s="473"/>
      <c r="L7" s="473"/>
      <c r="M7" s="473"/>
    </row>
    <row r="8" spans="1:15" ht="18" customHeight="1">
      <c r="B8" s="472">
        <v>6</v>
      </c>
      <c r="C8" s="472">
        <v>5860</v>
      </c>
      <c r="D8" s="472">
        <v>2930</v>
      </c>
      <c r="E8" s="472">
        <v>969</v>
      </c>
      <c r="F8" s="472">
        <v>1114</v>
      </c>
      <c r="H8" s="480" t="s">
        <v>409</v>
      </c>
      <c r="I8" s="508">
        <f>Data!C5</f>
        <v>0</v>
      </c>
      <c r="J8" s="473"/>
      <c r="K8" s="473"/>
      <c r="L8" s="480" t="s">
        <v>379</v>
      </c>
      <c r="M8" s="473"/>
    </row>
    <row r="9" spans="1:15" ht="18" customHeight="1">
      <c r="B9" s="472">
        <v>7</v>
      </c>
      <c r="C9" s="472">
        <v>6608</v>
      </c>
      <c r="D9" s="472">
        <v>3304</v>
      </c>
      <c r="E9" s="472">
        <v>1071</v>
      </c>
      <c r="F9" s="472">
        <v>1232</v>
      </c>
      <c r="H9" s="473"/>
      <c r="I9" s="473"/>
      <c r="J9" s="473"/>
      <c r="K9" s="473"/>
      <c r="L9" s="473"/>
      <c r="M9" s="473"/>
    </row>
    <row r="10" spans="1:15" ht="18" customHeight="1">
      <c r="B10" s="472">
        <v>8</v>
      </c>
      <c r="C10" s="472">
        <v>7354</v>
      </c>
      <c r="D10" s="472">
        <v>3677</v>
      </c>
      <c r="E10" s="472">
        <v>1224</v>
      </c>
      <c r="F10" s="472">
        <v>1408</v>
      </c>
      <c r="H10" s="473" t="s">
        <v>404</v>
      </c>
      <c r="I10" s="619">
        <f>Sheet1!O21</f>
        <v>0</v>
      </c>
      <c r="J10" s="474"/>
      <c r="K10" s="473"/>
      <c r="L10" s="481" t="s">
        <v>381</v>
      </c>
      <c r="M10" s="482" t="e">
        <f>Results!G2</f>
        <v>#DIV/0!</v>
      </c>
    </row>
    <row r="11" spans="1:15" ht="18" customHeight="1">
      <c r="B11" s="472">
        <v>9</v>
      </c>
      <c r="C11" s="472">
        <v>8102</v>
      </c>
      <c r="D11" s="472">
        <v>4051</v>
      </c>
      <c r="E11" s="472">
        <v>1377</v>
      </c>
      <c r="F11" s="472">
        <f>F10+176</f>
        <v>1584</v>
      </c>
      <c r="H11" s="473"/>
      <c r="I11" s="473"/>
      <c r="J11" s="473"/>
      <c r="K11" s="473"/>
      <c r="L11" s="473"/>
      <c r="M11" s="473"/>
    </row>
    <row r="12" spans="1:15" ht="18" customHeight="1">
      <c r="B12" s="472">
        <v>10</v>
      </c>
      <c r="C12" s="472">
        <v>8850</v>
      </c>
      <c r="D12" s="472">
        <v>4425</v>
      </c>
      <c r="E12" s="483">
        <v>1530</v>
      </c>
      <c r="F12" s="472">
        <f>F11+176</f>
        <v>1760</v>
      </c>
      <c r="H12" s="473" t="s">
        <v>397</v>
      </c>
      <c r="I12" s="474" t="e">
        <f>HLOOKUP(Data!C2,R_MG,Data!C3 + 1)</f>
        <v>#N/A</v>
      </c>
      <c r="J12" s="474"/>
      <c r="K12" s="473"/>
      <c r="L12" s="473" t="s">
        <v>380</v>
      </c>
      <c r="M12" s="474" t="e">
        <f>HLOOKUP(Data!C2,M_Net,Data!C3+1)</f>
        <v>#N/A</v>
      </c>
    </row>
    <row r="13" spans="1:15" ht="18" customHeight="1">
      <c r="H13" s="473"/>
      <c r="I13" s="473"/>
      <c r="J13" s="473"/>
      <c r="K13" s="473"/>
      <c r="L13" s="473"/>
      <c r="M13" s="473"/>
    </row>
    <row r="14" spans="1:15" ht="18" customHeight="1">
      <c r="H14" s="473"/>
      <c r="I14" s="473"/>
      <c r="J14" s="473"/>
      <c r="K14" s="473"/>
      <c r="L14" s="474" t="e">
        <f>IF(M14&lt;0,"ok","not ok")</f>
        <v>#DIV/0!</v>
      </c>
      <c r="M14" s="482" t="e">
        <f>M10-M12</f>
        <v>#DIV/0!</v>
      </c>
    </row>
    <row r="15" spans="1:15" ht="18" customHeight="1">
      <c r="A15" s="511" t="s">
        <v>132</v>
      </c>
      <c r="B15" s="512" t="s">
        <v>408</v>
      </c>
      <c r="C15" s="511"/>
      <c r="H15" s="473"/>
      <c r="I15" s="473"/>
      <c r="J15" s="475"/>
      <c r="K15" s="473"/>
      <c r="L15" s="473"/>
      <c r="M15" s="473"/>
    </row>
    <row r="16" spans="1:15" ht="18" customHeight="1">
      <c r="B16" s="512"/>
      <c r="C16" s="458" t="s">
        <v>410</v>
      </c>
      <c r="H16" s="473"/>
      <c r="I16" s="473"/>
      <c r="J16" s="473"/>
      <c r="K16" s="473"/>
      <c r="L16" s="473" t="e">
        <f>IF(AND(L2&gt;2,M10&gt;M12),"Net income's over limit"," ")</f>
        <v>#DIV/0!</v>
      </c>
      <c r="M16" s="473"/>
    </row>
    <row r="17" spans="2:16" ht="18" customHeight="1">
      <c r="H17" s="473"/>
      <c r="I17" s="474" t="s">
        <v>405</v>
      </c>
      <c r="J17" s="473" t="e">
        <f>IF(I10&lt;=I12," ",IF(AND(I10&gt;I12,I8=1),"E/D HH, Gross Inc Test exempt.","Gross Income over Limit. MCE/CF IE"))</f>
        <v>#N/A</v>
      </c>
      <c r="K17" s="473"/>
      <c r="L17" s="473"/>
      <c r="M17" s="473"/>
    </row>
    <row r="18" spans="2:16" ht="18" customHeight="1">
      <c r="B18" s="467" t="s">
        <v>406</v>
      </c>
      <c r="C18" s="511" t="s">
        <v>407</v>
      </c>
      <c r="H18" s="473"/>
      <c r="I18" s="473"/>
      <c r="J18" s="473"/>
      <c r="K18" s="473"/>
      <c r="L18" s="473"/>
      <c r="M18" s="473"/>
    </row>
    <row r="19" spans="2:16" ht="18" customHeight="1">
      <c r="B19" s="512" t="s">
        <v>411</v>
      </c>
      <c r="H19" s="473"/>
      <c r="I19" s="474" t="s">
        <v>405</v>
      </c>
      <c r="J19" s="475" t="e">
        <f>IF(AND(I14&gt;I16,I12=1),"Go to Results tab", " ")</f>
        <v>#N/A</v>
      </c>
      <c r="K19" s="473"/>
      <c r="L19" s="473"/>
      <c r="M19" s="473"/>
    </row>
    <row r="20" spans="2:16" ht="18" customHeight="1">
      <c r="H20" s="473"/>
      <c r="I20" s="473"/>
      <c r="J20" s="473"/>
      <c r="K20" s="473"/>
      <c r="L20" s="473"/>
      <c r="M20" s="473"/>
    </row>
    <row r="21" spans="2:16" ht="18" customHeight="1">
      <c r="C21" s="511" t="s">
        <v>412</v>
      </c>
      <c r="H21" s="473" t="s">
        <v>389</v>
      </c>
      <c r="I21" s="474" t="e">
        <f>I10-I12</f>
        <v>#N/A</v>
      </c>
      <c r="J21" s="488" t="e">
        <f>IF(I21&lt;0.01,"Gross Inc. Eligible","Gross Inc. Ineligible")</f>
        <v>#N/A</v>
      </c>
      <c r="K21" s="473"/>
      <c r="L21" s="487"/>
      <c r="M21" s="473"/>
    </row>
    <row r="22" spans="2:16" ht="18" customHeight="1">
      <c r="H22" s="473"/>
      <c r="I22" s="473"/>
      <c r="J22" s="473"/>
      <c r="K22" s="473"/>
      <c r="L22" s="473"/>
      <c r="M22" s="473"/>
    </row>
    <row r="23" spans="2:16" ht="18" customHeight="1">
      <c r="H23" s="473"/>
      <c r="I23" s="473"/>
      <c r="J23" s="473"/>
      <c r="K23" s="473"/>
      <c r="L23" s="473"/>
      <c r="M23" s="473"/>
    </row>
    <row r="24" spans="2:16" ht="18" customHeight="1">
      <c r="H24" s="480" t="s">
        <v>132</v>
      </c>
      <c r="I24" s="473"/>
      <c r="J24" s="473"/>
      <c r="K24" s="473"/>
      <c r="L24" s="473"/>
      <c r="M24" s="473"/>
    </row>
    <row r="25" spans="2:16" ht="18" customHeight="1">
      <c r="H25" s="473"/>
      <c r="I25" s="473"/>
      <c r="J25" s="473"/>
      <c r="K25" s="473"/>
      <c r="L25" s="473"/>
      <c r="M25" s="473" t="s">
        <v>428</v>
      </c>
      <c r="N25" s="614">
        <v>65</v>
      </c>
      <c r="O25" s="458" t="s">
        <v>429</v>
      </c>
      <c r="P25" s="614">
        <v>480</v>
      </c>
    </row>
    <row r="26" spans="2:16" ht="18" customHeight="1">
      <c r="H26" s="480" t="s">
        <v>378</v>
      </c>
      <c r="I26" s="473"/>
      <c r="J26" s="473"/>
      <c r="K26" s="473"/>
      <c r="L26" s="473"/>
      <c r="M26" s="473"/>
    </row>
    <row r="27" spans="2:16" ht="18" customHeight="1">
      <c r="H27" s="473"/>
      <c r="I27" s="473"/>
      <c r="J27" s="473"/>
      <c r="K27" s="473"/>
      <c r="L27" s="473"/>
      <c r="M27" s="474" t="s">
        <v>413</v>
      </c>
      <c r="N27" s="619">
        <f>N25*10/8</f>
        <v>81.25</v>
      </c>
      <c r="O27" s="463" t="s">
        <v>430</v>
      </c>
      <c r="P27" s="474">
        <f>P25/4.8*10</f>
        <v>1000</v>
      </c>
    </row>
    <row r="34" spans="1:10" s="465" customFormat="1" ht="18" customHeight="1">
      <c r="A34" s="458"/>
      <c r="B34" s="463"/>
      <c r="C34" s="458"/>
      <c r="D34" s="458"/>
      <c r="E34" s="463"/>
      <c r="F34" s="458"/>
      <c r="G34" s="458"/>
      <c r="H34" s="458"/>
      <c r="I34" s="458"/>
      <c r="J34" s="458"/>
    </row>
    <row r="39" spans="1:10" ht="18" customHeight="1">
      <c r="D39" s="464"/>
      <c r="F39" s="463"/>
      <c r="G39" s="463"/>
      <c r="H39" s="467"/>
    </row>
    <row r="40" spans="1:10" ht="18" customHeight="1">
      <c r="D40" s="464"/>
      <c r="F40" s="463"/>
      <c r="G40" s="463"/>
      <c r="H40" s="466"/>
    </row>
    <row r="41" spans="1:10" ht="18" customHeight="1">
      <c r="D41" s="464"/>
      <c r="F41" s="463"/>
      <c r="G41" s="463"/>
      <c r="H41" s="466"/>
    </row>
    <row r="42" spans="1:10" ht="18" customHeight="1">
      <c r="D42" s="464"/>
      <c r="F42" s="463"/>
      <c r="G42" s="463"/>
      <c r="H42" s="467"/>
    </row>
    <row r="43" spans="1:10" ht="18" customHeight="1">
      <c r="D43" s="464"/>
      <c r="F43" s="463"/>
      <c r="G43" s="463"/>
      <c r="H43" s="467"/>
    </row>
    <row r="44" spans="1:10" ht="18" customHeight="1">
      <c r="D44" s="464"/>
      <c r="F44" s="463"/>
      <c r="G44" s="463"/>
      <c r="H44" s="467"/>
    </row>
    <row r="45" spans="1:10" ht="18" customHeight="1">
      <c r="D45" s="463"/>
      <c r="H45" s="463"/>
    </row>
    <row r="46" spans="1:10" ht="18" customHeight="1">
      <c r="D46" s="463"/>
      <c r="H46" s="463"/>
    </row>
    <row r="47" spans="1:10" ht="18" customHeight="1">
      <c r="D47" s="463"/>
    </row>
  </sheetData>
  <sheetProtection algorithmName="SHA-512" hashValue="gCkXAgxW2juA43PXWXrGRjSEbAPu9cOC/6G31SxOXau1+wm1IBw3ARkRxY3BqJ2lvGtMfmTByVmrAlv7KvxVMw==" saltValue="YDmSFDIxUzybyhEhl6bskw==" spinCount="100000" sheet="1" objects="1" scenarios="1"/>
  <mergeCells count="1">
    <mergeCell ref="B1:E1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303B9-5F62-4B69-904D-16890CA1C2DB}">
  <sheetPr>
    <tabColor rgb="FFC00000"/>
  </sheetPr>
  <dimension ref="A1:P33"/>
  <sheetViews>
    <sheetView topLeftCell="A10" workbookViewId="0">
      <selection activeCell="Q25" sqref="Q25"/>
    </sheetView>
  </sheetViews>
  <sheetFormatPr defaultColWidth="14" defaultRowHeight="20.25" customHeight="1"/>
  <cols>
    <col min="1" max="12" width="14" style="458"/>
    <col min="13" max="13" width="17" style="458" customWidth="1"/>
    <col min="14" max="16384" width="14" style="458"/>
  </cols>
  <sheetData>
    <row r="1" spans="1:16" ht="20.25" customHeight="1">
      <c r="A1" s="632"/>
      <c r="B1" s="632"/>
      <c r="C1" s="632"/>
      <c r="D1" s="632"/>
      <c r="E1" s="632"/>
      <c r="F1" s="632"/>
      <c r="G1" s="632"/>
      <c r="H1" s="632"/>
      <c r="I1" s="632"/>
      <c r="J1" s="632"/>
      <c r="K1" s="632"/>
    </row>
    <row r="2" spans="1:16" ht="20.25" customHeight="1">
      <c r="A2" s="632"/>
      <c r="B2" s="632"/>
      <c r="C2" s="632"/>
      <c r="D2" s="632"/>
      <c r="E2" s="632"/>
      <c r="F2" s="632"/>
      <c r="G2" s="632"/>
      <c r="H2" s="632"/>
      <c r="I2" s="632"/>
      <c r="J2" s="632"/>
      <c r="K2" s="632"/>
    </row>
    <row r="3" spans="1:16" ht="20.25" customHeight="1">
      <c r="A3" s="632"/>
      <c r="B3" s="632"/>
      <c r="C3" s="632"/>
      <c r="D3" s="632"/>
      <c r="E3" s="632"/>
      <c r="F3" s="632"/>
      <c r="G3" s="632"/>
      <c r="H3" s="632"/>
      <c r="I3" s="632"/>
      <c r="J3" s="632"/>
      <c r="K3" s="632"/>
    </row>
    <row r="4" spans="1:16" ht="20.25" customHeight="1">
      <c r="A4" s="632"/>
      <c r="B4" s="632"/>
      <c r="C4" s="632"/>
      <c r="D4" s="632"/>
      <c r="E4" s="632"/>
      <c r="F4" s="632"/>
      <c r="G4" s="632"/>
      <c r="H4" s="632"/>
      <c r="I4" s="632"/>
      <c r="J4" s="632"/>
      <c r="K4" s="632"/>
    </row>
    <row r="5" spans="1:16" ht="20.25" customHeight="1">
      <c r="A5" s="632"/>
      <c r="B5" s="632"/>
      <c r="C5" s="632"/>
      <c r="D5" s="632"/>
      <c r="E5" s="632"/>
      <c r="F5" s="632"/>
      <c r="G5" s="632"/>
      <c r="H5" s="632"/>
      <c r="I5" s="632"/>
      <c r="J5" s="632"/>
      <c r="K5" s="632"/>
    </row>
    <row r="6" spans="1:16" ht="20.25" customHeight="1">
      <c r="A6" s="632"/>
      <c r="B6" s="632"/>
      <c r="C6" s="632"/>
      <c r="D6" s="632"/>
      <c r="E6" s="632"/>
      <c r="F6" s="632"/>
      <c r="G6" s="632"/>
      <c r="H6" s="632"/>
      <c r="I6" s="632"/>
      <c r="J6" s="632"/>
      <c r="K6" s="632"/>
    </row>
    <row r="7" spans="1:16" ht="20.25" customHeight="1">
      <c r="A7" s="632"/>
      <c r="B7" s="632"/>
      <c r="C7" s="632"/>
      <c r="D7" s="632"/>
      <c r="E7" s="632"/>
      <c r="F7" s="632"/>
      <c r="G7" s="632"/>
      <c r="H7" s="632"/>
      <c r="I7" s="632"/>
      <c r="J7" s="632"/>
      <c r="K7" s="632"/>
    </row>
    <row r="8" spans="1:16" ht="20.25" customHeight="1">
      <c r="A8" s="632"/>
      <c r="B8" s="632"/>
      <c r="C8" s="632"/>
      <c r="D8" s="632"/>
      <c r="E8" s="632"/>
      <c r="F8" s="632"/>
      <c r="G8" s="632"/>
      <c r="H8" s="632"/>
      <c r="I8" s="632"/>
      <c r="J8" s="632"/>
      <c r="K8" s="632"/>
      <c r="L8" s="511" t="s">
        <v>441</v>
      </c>
      <c r="O8" s="458" t="s">
        <v>442</v>
      </c>
      <c r="P8" s="458" t="s">
        <v>443</v>
      </c>
    </row>
    <row r="9" spans="1:16" ht="20.25" customHeight="1">
      <c r="A9" s="632"/>
      <c r="B9" s="632"/>
      <c r="C9" s="632"/>
      <c r="D9" s="632"/>
      <c r="E9" s="632"/>
      <c r="F9" s="632"/>
      <c r="G9" s="632"/>
      <c r="H9" s="632"/>
      <c r="I9" s="632"/>
      <c r="J9" s="632"/>
      <c r="K9" s="632"/>
    </row>
    <row r="10" spans="1:16" ht="20.25" customHeight="1">
      <c r="A10" s="632"/>
      <c r="B10" s="632"/>
      <c r="C10" s="632"/>
      <c r="D10" s="632"/>
      <c r="E10" s="632"/>
      <c r="F10" s="632"/>
      <c r="G10" s="632"/>
      <c r="H10" s="632"/>
      <c r="I10" s="632"/>
      <c r="J10" s="632"/>
      <c r="K10" s="632"/>
    </row>
    <row r="11" spans="1:16" ht="20.25" customHeight="1">
      <c r="A11" s="632"/>
      <c r="B11" s="632"/>
      <c r="C11" s="632"/>
      <c r="D11" s="632"/>
      <c r="E11" s="632"/>
      <c r="F11" s="632"/>
      <c r="G11" s="632"/>
      <c r="H11" s="632"/>
      <c r="I11" s="632"/>
      <c r="J11" s="632"/>
      <c r="K11" s="632"/>
    </row>
    <row r="12" spans="1:16" ht="20.25" customHeight="1">
      <c r="A12" s="632"/>
      <c r="B12" s="632"/>
      <c r="C12" s="632"/>
      <c r="D12" s="632"/>
      <c r="E12" s="632"/>
      <c r="F12" s="632"/>
      <c r="G12" s="632"/>
      <c r="H12" s="632"/>
      <c r="I12" s="632"/>
      <c r="J12" s="632"/>
      <c r="K12" s="632"/>
      <c r="L12" s="511" t="s">
        <v>440</v>
      </c>
    </row>
    <row r="13" spans="1:16" ht="20.25" customHeight="1">
      <c r="A13" s="632"/>
      <c r="B13" s="632"/>
      <c r="C13" s="632"/>
      <c r="D13" s="632"/>
      <c r="E13" s="632"/>
      <c r="F13" s="632"/>
      <c r="G13" s="632"/>
      <c r="H13" s="632"/>
      <c r="I13" s="632"/>
      <c r="J13" s="632"/>
      <c r="K13" s="632"/>
      <c r="M13" s="458" t="s">
        <v>434</v>
      </c>
      <c r="N13" s="631">
        <f>Data!I10+Data!I11+Data!I12+Data!I13+Data!I14</f>
        <v>0</v>
      </c>
      <c r="O13" s="631"/>
    </row>
    <row r="14" spans="1:16" ht="20.25" customHeight="1">
      <c r="A14" s="632"/>
      <c r="B14" s="632"/>
      <c r="C14" s="632"/>
      <c r="D14" s="632"/>
      <c r="E14" s="632"/>
      <c r="F14" s="632"/>
      <c r="G14" s="632"/>
      <c r="H14" s="632"/>
      <c r="I14" s="632"/>
      <c r="J14" s="632"/>
      <c r="K14" s="632"/>
      <c r="M14" s="458" t="s">
        <v>435</v>
      </c>
      <c r="N14" s="631">
        <f>Data!C19</f>
        <v>0</v>
      </c>
      <c r="O14" s="631"/>
    </row>
    <row r="15" spans="1:16" ht="20.25" customHeight="1">
      <c r="A15" s="632"/>
      <c r="B15" s="632"/>
      <c r="C15" s="632"/>
      <c r="D15" s="632"/>
      <c r="E15" s="632"/>
      <c r="F15" s="632"/>
      <c r="G15" s="632"/>
      <c r="H15" s="632"/>
      <c r="I15" s="632"/>
      <c r="J15" s="632"/>
      <c r="K15" s="632"/>
      <c r="M15" s="458" t="s">
        <v>436</v>
      </c>
      <c r="N15" s="631">
        <f>N13-N14</f>
        <v>0</v>
      </c>
      <c r="O15" s="631">
        <f>IF(N15&gt;0,N15,0)</f>
        <v>0</v>
      </c>
    </row>
    <row r="16" spans="1:16" ht="20.25" customHeight="1">
      <c r="A16" s="632"/>
      <c r="B16" s="632"/>
      <c r="C16" s="632"/>
      <c r="D16" s="632"/>
      <c r="E16" s="632"/>
      <c r="F16" s="632"/>
      <c r="G16" s="632"/>
      <c r="H16" s="632"/>
      <c r="I16" s="632"/>
      <c r="J16" s="632"/>
      <c r="K16" s="632"/>
      <c r="N16" s="631"/>
      <c r="O16" s="631"/>
    </row>
    <row r="17" spans="1:15" ht="20.25" customHeight="1">
      <c r="A17" s="632"/>
      <c r="B17" s="632"/>
      <c r="C17" s="632"/>
      <c r="D17" s="632"/>
      <c r="E17" s="632"/>
      <c r="F17" s="632"/>
      <c r="G17" s="632"/>
      <c r="H17" s="632"/>
      <c r="I17" s="632"/>
      <c r="J17" s="632"/>
      <c r="K17" s="632"/>
      <c r="M17" s="458" t="s">
        <v>437</v>
      </c>
      <c r="N17" s="631">
        <f>Data!I7+Data!I8+Data!I9</f>
        <v>0</v>
      </c>
      <c r="O17" s="631"/>
    </row>
    <row r="18" spans="1:15" ht="20.25" customHeight="1">
      <c r="A18" s="632"/>
      <c r="B18" s="632"/>
      <c r="C18" s="632"/>
      <c r="D18" s="632"/>
      <c r="E18" s="632"/>
      <c r="F18" s="632"/>
      <c r="G18" s="632"/>
      <c r="H18" s="632"/>
      <c r="I18" s="632"/>
      <c r="J18" s="632"/>
      <c r="K18" s="632"/>
      <c r="M18" s="458" t="s">
        <v>435</v>
      </c>
      <c r="N18" s="631">
        <f>IF(N14&gt;N13,N15,0)</f>
        <v>0</v>
      </c>
      <c r="O18" s="631"/>
    </row>
    <row r="19" spans="1:15" ht="20.25" customHeight="1">
      <c r="A19" s="632"/>
      <c r="B19" s="632"/>
      <c r="C19" s="632"/>
      <c r="D19" s="632"/>
      <c r="E19" s="632"/>
      <c r="F19" s="632"/>
      <c r="G19" s="632"/>
      <c r="H19" s="632"/>
      <c r="I19" s="632"/>
      <c r="J19" s="632"/>
      <c r="K19" s="632"/>
      <c r="M19" s="458" t="s">
        <v>437</v>
      </c>
      <c r="N19" s="631">
        <f>N17+N18</f>
        <v>0</v>
      </c>
      <c r="O19" s="631">
        <f>N19</f>
        <v>0</v>
      </c>
    </row>
    <row r="20" spans="1:15" ht="20.25" customHeight="1">
      <c r="A20" s="632"/>
      <c r="B20" s="632"/>
      <c r="C20" s="632"/>
      <c r="D20" s="632"/>
      <c r="E20" s="632"/>
      <c r="F20" s="632"/>
      <c r="G20" s="632"/>
      <c r="H20" s="632"/>
      <c r="I20" s="632"/>
      <c r="J20" s="632"/>
      <c r="K20" s="632"/>
      <c r="N20" s="631"/>
      <c r="O20" s="631"/>
    </row>
    <row r="21" spans="1:15" ht="20.25" customHeight="1">
      <c r="A21" s="632"/>
      <c r="B21" s="632"/>
      <c r="C21" s="632"/>
      <c r="D21" s="632"/>
      <c r="E21" s="632"/>
      <c r="F21" s="632"/>
      <c r="G21" s="632"/>
      <c r="H21" s="632"/>
      <c r="I21" s="632"/>
      <c r="J21" s="632"/>
      <c r="K21" s="632"/>
      <c r="M21" s="458" t="s">
        <v>438</v>
      </c>
      <c r="N21" s="631"/>
      <c r="O21" s="631">
        <f>O15+O19</f>
        <v>0</v>
      </c>
    </row>
    <row r="22" spans="1:15" ht="20.25" customHeight="1">
      <c r="A22" s="632"/>
      <c r="B22" s="632"/>
      <c r="C22" s="632"/>
      <c r="D22" s="632"/>
      <c r="E22" s="632"/>
      <c r="F22" s="632"/>
      <c r="G22" s="632"/>
      <c r="H22" s="632"/>
      <c r="I22" s="632"/>
      <c r="J22" s="632"/>
      <c r="K22" s="632"/>
      <c r="N22" s="630"/>
      <c r="O22" s="630"/>
    </row>
    <row r="23" spans="1:15" ht="20.25" customHeight="1">
      <c r="A23" s="632"/>
      <c r="B23" s="632"/>
      <c r="C23" s="632"/>
      <c r="D23" s="632"/>
      <c r="E23" s="632"/>
      <c r="F23" s="632"/>
      <c r="G23" s="632"/>
      <c r="H23" s="632"/>
      <c r="I23" s="632"/>
      <c r="J23" s="632"/>
      <c r="K23" s="632"/>
      <c r="N23" s="630"/>
      <c r="O23" s="630"/>
    </row>
    <row r="24" spans="1:15" ht="20.25" customHeight="1">
      <c r="A24" s="632"/>
      <c r="B24" s="632"/>
      <c r="C24" s="632"/>
      <c r="D24" s="632"/>
      <c r="E24" s="632"/>
      <c r="F24" s="632"/>
      <c r="G24" s="632"/>
      <c r="H24" s="632"/>
      <c r="I24" s="632"/>
      <c r="J24" s="632"/>
      <c r="K24" s="632"/>
      <c r="L24" s="511" t="s">
        <v>312</v>
      </c>
    </row>
    <row r="25" spans="1:15" ht="20.25" customHeight="1">
      <c r="A25" s="632"/>
      <c r="B25" s="632"/>
      <c r="C25" s="632"/>
      <c r="D25" s="632"/>
      <c r="E25" s="632"/>
      <c r="F25" s="632"/>
      <c r="G25" s="632"/>
      <c r="H25" s="632"/>
      <c r="I25" s="632"/>
      <c r="J25" s="632"/>
      <c r="K25" s="632"/>
      <c r="M25" s="458" t="s">
        <v>434</v>
      </c>
      <c r="N25" s="631" t="e">
        <f>'Ex-CFAP'!G9+'Ex-CFAP'!G10</f>
        <v>#VALUE!</v>
      </c>
      <c r="O25" s="631"/>
    </row>
    <row r="26" spans="1:15" ht="20.25" customHeight="1">
      <c r="A26" s="632"/>
      <c r="B26" s="632"/>
      <c r="C26" s="632"/>
      <c r="D26" s="632"/>
      <c r="E26" s="632"/>
      <c r="F26" s="632"/>
      <c r="G26" s="632"/>
      <c r="H26" s="632"/>
      <c r="I26" s="632"/>
      <c r="J26" s="632"/>
      <c r="K26" s="632"/>
      <c r="M26" s="458" t="s">
        <v>435</v>
      </c>
      <c r="N26" s="631" t="str">
        <f>'Ex-CFAP'!G13</f>
        <v xml:space="preserve"> </v>
      </c>
      <c r="O26" s="631"/>
    </row>
    <row r="27" spans="1:15" ht="20.25" customHeight="1">
      <c r="M27" s="458" t="s">
        <v>436</v>
      </c>
      <c r="N27" s="631" t="e">
        <f>N25-N26</f>
        <v>#VALUE!</v>
      </c>
      <c r="O27" s="631" t="e">
        <f>IF(N27&gt;0,N27,0)</f>
        <v>#VALUE!</v>
      </c>
    </row>
    <row r="28" spans="1:15" ht="20.25" customHeight="1">
      <c r="N28" s="631"/>
      <c r="O28" s="631"/>
    </row>
    <row r="29" spans="1:15" ht="20.25" customHeight="1">
      <c r="M29" s="458" t="s">
        <v>437</v>
      </c>
      <c r="N29" s="631" t="e">
        <f>'Ex-CFAP'!G6+'Ex-CFAP'!G7</f>
        <v>#VALUE!</v>
      </c>
      <c r="O29" s="631"/>
    </row>
    <row r="30" spans="1:15" ht="20.25" customHeight="1">
      <c r="M30" s="458" t="s">
        <v>435</v>
      </c>
      <c r="N30" s="631" t="e">
        <f>IF(N26&gt;N25,N27,0)</f>
        <v>#VALUE!</v>
      </c>
      <c r="O30" s="631"/>
    </row>
    <row r="31" spans="1:15" ht="20.25" customHeight="1">
      <c r="M31" s="458" t="s">
        <v>437</v>
      </c>
      <c r="N31" s="631" t="e">
        <f>N29+N30</f>
        <v>#VALUE!</v>
      </c>
      <c r="O31" s="631" t="e">
        <f>N31</f>
        <v>#VALUE!</v>
      </c>
    </row>
    <row r="32" spans="1:15" ht="20.25" customHeight="1">
      <c r="N32" s="631"/>
      <c r="O32" s="631"/>
    </row>
    <row r="33" spans="13:15" ht="20.25" customHeight="1">
      <c r="M33" s="458" t="s">
        <v>438</v>
      </c>
      <c r="N33" s="631"/>
      <c r="O33" s="631" t="e">
        <f>O27+O31</f>
        <v>#VALUE!</v>
      </c>
    </row>
  </sheetData>
  <sheetProtection algorithmName="SHA-512" hashValue="r5KzFf2dHOOT7J/ZomwGZso9WR72LPGgUTz4Ve3UirYCEbQiIj92BZ33zf4WYfoX36KlVgS9cJ0ELfUZmXCggw==" saltValue="eoVL+K3JHA/EbzL781BO5g==" spinCount="100000" sheet="1" objects="1" scenarios="1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593E172D8F2D74E9670D79CCD4AE23A" ma:contentTypeVersion="10" ma:contentTypeDescription="Create a new document." ma:contentTypeScope="" ma:versionID="5c95e6b0e541ebed5be20af287730760">
  <xsd:schema xmlns:xsd="http://www.w3.org/2001/XMLSchema" xmlns:xs="http://www.w3.org/2001/XMLSchema" xmlns:p="http://schemas.microsoft.com/office/2006/metadata/properties" xmlns:ns2="364420fd-cba1-42ad-bb38-11fccf3dc53f" xmlns:ns3="2983019a-715d-4993-92a9-adaf39858de3" targetNamespace="http://schemas.microsoft.com/office/2006/metadata/properties" ma:root="true" ma:fieldsID="f2d6f778b78a16218870f3d60b23e381" ns2:_="" ns3:_="">
    <xsd:import namespace="364420fd-cba1-42ad-bb38-11fccf3dc53f"/>
    <xsd:import namespace="2983019a-715d-4993-92a9-adaf39858de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MediaServiceAutoTags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64420fd-cba1-42ad-bb38-11fccf3dc53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3" nillable="true" ma:displayName="Length (seconds)" ma:internalName="MediaLengthInSeconds" ma:readOnly="true">
      <xsd:simpleType>
        <xsd:restriction base="dms:Unknown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983019a-715d-4993-92a9-adaf39858de3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14DDA24-5024-4FB5-B9E6-99958D3F574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F2234B2-8C25-4C15-BF18-C41EF398E9AE}"/>
</file>

<file path=customXml/itemProps3.xml><?xml version="1.0" encoding="utf-8"?>
<ds:datastoreItem xmlns:ds="http://schemas.openxmlformats.org/officeDocument/2006/customXml" ds:itemID="{0F37E58F-8559-4C9B-80C7-66D5CBED1742}">
  <ds:schemaRefs>
    <ds:schemaRef ds:uri="http://schemas.openxmlformats.org/package/2006/metadata/core-properties"/>
    <ds:schemaRef ds:uri="http://schemas.microsoft.com/office/2006/documentManagement/types"/>
    <ds:schemaRef ds:uri="4affb7fc-7422-4798-bd01-445c6e2cdca8"/>
    <ds:schemaRef ds:uri="http://purl.org/dc/elements/1.1/"/>
    <ds:schemaRef ds:uri="http://schemas.microsoft.com/office/2006/metadata/properties"/>
    <ds:schemaRef ds:uri="http://purl.org/dc/terms/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Metadata/LabelInfo.xml><?xml version="1.0" encoding="utf-8"?>
<clbl:labelList xmlns:clbl="http://schemas.microsoft.com/office/2020/mipLabelMetadata">
  <clbl:label id="{07597248-ea38-451b-8abe-a638eddbac81}" enabled="0" method="" siteId="{07597248-ea38-451b-8abe-a638eddbac81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15</vt:i4>
      </vt:variant>
    </vt:vector>
  </HeadingPairs>
  <TitlesOfParts>
    <vt:vector size="27" baseType="lpstr">
      <vt:lpstr>Begin</vt:lpstr>
      <vt:lpstr>Data</vt:lpstr>
      <vt:lpstr>Results</vt:lpstr>
      <vt:lpstr>DFA_285B</vt:lpstr>
      <vt:lpstr>Ex-CFAP</vt:lpstr>
      <vt:lpstr>Dep Care Calc</vt:lpstr>
      <vt:lpstr>Elig_Data</vt:lpstr>
      <vt:lpstr>X_Tables</vt:lpstr>
      <vt:lpstr>C.S.</vt:lpstr>
      <vt:lpstr>Ex_Aid</vt:lpstr>
      <vt:lpstr>Sheet2</vt:lpstr>
      <vt:lpstr>Sheet1</vt:lpstr>
      <vt:lpstr>B_Cons</vt:lpstr>
      <vt:lpstr>M_Net</vt:lpstr>
      <vt:lpstr>MAMI</vt:lpstr>
      <vt:lpstr>Max_A</vt:lpstr>
      <vt:lpstr>MOS</vt:lpstr>
      <vt:lpstr>MSO</vt:lpstr>
      <vt:lpstr>Begin!Print_Area</vt:lpstr>
      <vt:lpstr>Data!Print_Area</vt:lpstr>
      <vt:lpstr>DFA_285B!Print_Area</vt:lpstr>
      <vt:lpstr>Elig_Data!Print_Area</vt:lpstr>
      <vt:lpstr>Ex_Aid!Print_Area</vt:lpstr>
      <vt:lpstr>'Ex-CFAP'!Print_Area</vt:lpstr>
      <vt:lpstr>Results!Print_Area</vt:lpstr>
      <vt:lpstr>X_Tables!Print_Area</vt:lpstr>
      <vt:lpstr>R_MG</vt:lpstr>
    </vt:vector>
  </TitlesOfParts>
  <Company>County DPSS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Automaded Food Stamp Budget</dc:title>
  <dc:subject>Yearly Cola Update</dc:subject>
  <dc:creator>Briseno &amp; Chanh Le</dc:creator>
  <dc:description>This version of the FS budget was revised for the October 2016 Cost of Living Adjustment.</dc:description>
  <cp:lastModifiedBy>Tony Tran</cp:lastModifiedBy>
  <cp:revision>20160817</cp:revision>
  <cp:lastPrinted>2023-09-28T23:35:02Z</cp:lastPrinted>
  <dcterms:created xsi:type="dcterms:W3CDTF">1999-04-29T17:01:08Z</dcterms:created>
  <dcterms:modified xsi:type="dcterms:W3CDTF">2023-09-28T23:41:29Z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0x0101004593E172D8F2D74E9670D79CCD4AE23A</vt:lpwstr>
  </property>
</Properties>
</file>